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icio" sheetId="1" state="visible" r:id="rId1"/>
    <sheet xmlns:r="http://schemas.openxmlformats.org/officeDocument/2006/relationships" name="Criterios" sheetId="2" state="visible" r:id="rId2"/>
    <sheet xmlns:r="http://schemas.openxmlformats.org/officeDocument/2006/relationships" name="Pertinencia" sheetId="3" state="visible" r:id="rId3"/>
    <sheet xmlns:r="http://schemas.openxmlformats.org/officeDocument/2006/relationships" name="Datos" sheetId="4" state="visible" r:id="rId4"/>
    <sheet xmlns:r="http://schemas.openxmlformats.org/officeDocument/2006/relationships" name="Viabilidad" sheetId="5" state="visible" r:id="rId5"/>
    <sheet xmlns:r="http://schemas.openxmlformats.org/officeDocument/2006/relationships" name="Impacto" sheetId="6" state="visible" r:id="rId6"/>
    <sheet xmlns:r="http://schemas.openxmlformats.org/officeDocument/2006/relationships" name="Caso_real" sheetId="7" state="visible" r:id="rId7"/>
    <sheet xmlns:r="http://schemas.openxmlformats.org/officeDocument/2006/relationships" name="Resultados" sheetId="8" state="visible" r:id="rId8"/>
    <sheet xmlns:r="http://schemas.openxmlformats.org/officeDocument/2006/relationships" name="Sensibilidad" sheetId="9" state="visible" r:id="rId9"/>
    <sheet xmlns:r="http://schemas.openxmlformats.org/officeDocument/2006/relationships" name="Barrid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%"/>
    <numFmt numFmtId="166" formatCode="0.0000"/>
  </numFmts>
  <fonts count="13">
    <font>
      <name val="Calibri"/>
      <color theme="1"/>
      <sz val="11"/>
      <scheme val="minor"/>
    </font>
    <font>
      <name val="Arial"/>
      <b val="1"/>
      <color rgb="FF1F3864"/>
      <sz val="14"/>
    </font>
    <font>
      <name val="Arial"/>
      <i val="1"/>
      <color rgb="FF595959"/>
      <sz val="9"/>
    </font>
    <font>
      <name val="Arial"/>
      <b val="1"/>
      <color rgb="FF1F3864"/>
      <sz val="11"/>
    </font>
    <font>
      <name val="Arial"/>
      <b val="1"/>
      <color theme="1"/>
      <sz val="10"/>
    </font>
    <font>
      <name val="Arial"/>
      <color rgb="FF000000"/>
      <sz val="10"/>
    </font>
    <font>
      <name val="Arial"/>
      <b val="1"/>
      <color rgb="FFFFFFFF"/>
      <sz val="10"/>
    </font>
    <font>
      <name val="Arial"/>
      <color theme="1"/>
      <sz val="10"/>
    </font>
    <font>
      <name val="Arial"/>
      <color rgb="FF008000"/>
      <sz val="10"/>
    </font>
    <font>
      <name val="Arial"/>
      <color rgb="FF0000FF"/>
      <sz val="10"/>
    </font>
    <font>
      <name val="Arial"/>
      <b val="1"/>
      <color rgb="FF000000"/>
      <sz val="10"/>
    </font>
    <font/>
    <font>
      <name val="Calibri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DDEBF7"/>
        <bgColor rgb="FFDDEBF7"/>
      </patternFill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</fills>
  <borders count="7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</borders>
  <cellStyleXfs count="1">
    <xf numFmtId="0" fontId="0" fillId="0" borderId="0"/>
  </cellStyleXfs>
  <cellXfs count="4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2" borderId="1" applyAlignment="1" pivotButton="0" quotePrefix="0" xfId="0">
      <alignment vertical="bottom"/>
    </xf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bottom"/>
    </xf>
    <xf numFmtId="0" fontId="8" fillId="0" borderId="1" applyAlignment="1" pivotButton="0" quotePrefix="0" xfId="0">
      <alignment vertical="bottom"/>
    </xf>
    <xf numFmtId="0" fontId="5" fillId="0" borderId="1" applyAlignment="1" pivotButton="0" quotePrefix="0" xfId="0">
      <alignment horizontal="center" vertical="center" wrapText="1"/>
    </xf>
    <xf numFmtId="2" fontId="9" fillId="0" borderId="1" applyAlignment="1" pivotButton="0" quotePrefix="0" xfId="0">
      <alignment vertical="bottom"/>
    </xf>
    <xf numFmtId="164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bottom"/>
    </xf>
    <xf numFmtId="0" fontId="7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bottom"/>
    </xf>
    <xf numFmtId="0" fontId="4" fillId="2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vertical="bottom"/>
    </xf>
    <xf numFmtId="2" fontId="8" fillId="0" borderId="1" applyAlignment="1" pivotButton="0" quotePrefix="0" xfId="0">
      <alignment vertical="bottom"/>
    </xf>
    <xf numFmtId="165" fontId="4" fillId="4" borderId="1" applyAlignment="1" pivotButton="0" quotePrefix="0" xfId="0">
      <alignment vertical="bottom"/>
    </xf>
    <xf numFmtId="0" fontId="4" fillId="0" borderId="1" applyAlignment="1" pivotButton="0" quotePrefix="0" xfId="0">
      <alignment vertical="bottom"/>
    </xf>
    <xf numFmtId="166" fontId="7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bottom"/>
    </xf>
    <xf numFmtId="0" fontId="10" fillId="2" borderId="1" applyAlignment="1" pivotButton="0" quotePrefix="0" xfId="0">
      <alignment vertical="bottom"/>
    </xf>
    <xf numFmtId="165" fontId="5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5" fontId="10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vertical="bottom"/>
    </xf>
    <xf numFmtId="0" fontId="11" fillId="0" borderId="3" pivotButton="0" quotePrefix="0" xfId="0"/>
    <xf numFmtId="0" fontId="11" fillId="0" borderId="4" pivotButton="0" quotePrefix="0" xfId="0"/>
    <xf numFmtId="0" fontId="4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bottom"/>
    </xf>
    <xf numFmtId="0" fontId="4" fillId="0" borderId="1" applyAlignment="1" pivotButton="0" quotePrefix="0" xfId="0">
      <alignment horizontal="center" vertical="center" wrapText="1"/>
    </xf>
    <xf numFmtId="0" fontId="12" fillId="0" borderId="0" pivotButton="0" quotePrefix="0" xfId="0"/>
    <xf numFmtId="165" fontId="8" fillId="0" borderId="1" applyAlignment="1" pivotButton="0" quotePrefix="0" xfId="0">
      <alignment horizontal="center" vertical="center" wrapText="1"/>
    </xf>
    <xf numFmtId="9" fontId="9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4" borderId="1" applyAlignment="1" pivotButton="0" quotePrefix="0" xfId="0">
      <alignment vertical="bottom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dxfs count="2"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  <border/>
    </dxf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Ranking final (puntaje global)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Puntaje global</v>
          </tx>
          <spPr>
            <a:solidFill xmlns:a="http://schemas.openxmlformats.org/drawingml/2006/main">
              <a:srgbClr val="4F81BD"/>
            </a:solidFill>
            <a:ln xmlns:a="http://schemas.openxmlformats.org/drawingml/2006/main" cmpd="sng">
              <a:noFill/>
              <a:prstDash val="solid"/>
            </a:ln>
          </spPr>
          <invertIfNegative val="0"/>
          <dLbls>
            <numFmt formatCode="General"/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strRef>
              <f>Resultados!$A$23:$A$25</f>
            </strRef>
          </cat>
          <val>
            <numRef>
              <f>Resultados!$B$23:$B$25</f>
              <numCache/>
            </numRef>
          </val>
        </ser>
        <gapWidth val="150"/>
        <axId val="1756945075"/>
        <axId val="2111033242"/>
      </barChart>
      <catAx>
        <axId val="175694507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111033242"/>
        <lblOffset val="100"/>
      </catAx>
      <valAx>
        <axId val="2111033242"/>
        <scaling>
          <orientation val="minMax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0%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756945075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Aporte de cada criterio al puntaje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v>Pertinencia</v>
          </tx>
          <spPr>
            <a:solidFill xmlns:a="http://schemas.openxmlformats.org/drawingml/2006/main">
              <a:srgbClr val="4F81BD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Resultados!$A$31:$A$33</f>
            </strRef>
          </cat>
          <val>
            <numRef>
              <f>Resultados!$B$31:$B$33</f>
              <numCache/>
            </numRef>
          </val>
        </ser>
        <ser>
          <idx val="1"/>
          <order val="1"/>
          <tx>
            <v>Datos</v>
          </tx>
          <spPr>
            <a:solidFill xmlns:a="http://schemas.openxmlformats.org/drawingml/2006/main">
              <a:srgbClr val="C0504D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Resultados!$A$31:$A$33</f>
            </strRef>
          </cat>
          <val>
            <numRef>
              <f>Resultados!$C$31:$C$33</f>
              <numCache/>
            </numRef>
          </val>
        </ser>
        <ser>
          <idx val="2"/>
          <order val="2"/>
          <tx>
            <v>Viabilidad</v>
          </tx>
          <spPr>
            <a:solidFill xmlns:a="http://schemas.openxmlformats.org/drawingml/2006/main">
              <a:srgbClr val="9BBB59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Resultados!$A$31:$A$33</f>
            </strRef>
          </cat>
          <val>
            <numRef>
              <f>Resultados!$D$31:$D$33</f>
              <numCache/>
            </numRef>
          </val>
        </ser>
        <ser>
          <idx val="3"/>
          <order val="3"/>
          <tx>
            <v>Impacto</v>
          </tx>
          <spPr>
            <a:solidFill xmlns:a="http://schemas.openxmlformats.org/drawingml/2006/main">
              <a:srgbClr val="8064A2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Resultados!$A$31:$A$33</f>
            </strRef>
          </cat>
          <val>
            <numRef>
              <f>Resultados!$E$31:$E$33</f>
              <numCache/>
            </numRef>
          </val>
        </ser>
        <ser>
          <idx val="4"/>
          <order val="4"/>
          <tx>
            <v>Caso_real</v>
          </tx>
          <spPr>
            <a:solidFill xmlns:a="http://schemas.openxmlformats.org/drawingml/2006/main">
              <a:srgbClr val="4BACC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Resultados!$A$31:$A$33</f>
            </strRef>
          </cat>
          <val>
            <numRef>
              <f>Resultados!$F$31:$F$33</f>
              <numCache/>
            </numRef>
          </val>
        </ser>
        <gapWidth val="150"/>
        <overlap val="100"/>
        <axId val="429434463"/>
        <axId val="1484531447"/>
      </barChart>
      <catAx>
        <axId val="429434463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484531447"/>
        <lblOffset val="100"/>
      </catAx>
      <valAx>
        <axId val="1484531447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0%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29434463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Puntaje por tema en cada escenario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v>Puntaje A</v>
          </tx>
          <spPr>
            <a:solidFill xmlns:a="http://schemas.openxmlformats.org/drawingml/2006/main">
              <a:srgbClr val="4F81BD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Sensibilidad!$A$6:$A$11</f>
            </strRef>
          </cat>
          <val>
            <numRef>
              <f>Sensibilidad!$H$6:$H$11</f>
              <numCache/>
            </numRef>
          </val>
        </ser>
        <ser>
          <idx val="1"/>
          <order val="1"/>
          <tx>
            <v>Puntaje B</v>
          </tx>
          <spPr>
            <a:solidFill xmlns:a="http://schemas.openxmlformats.org/drawingml/2006/main">
              <a:srgbClr val="C0504D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Sensibilidad!$A$6:$A$11</f>
            </strRef>
          </cat>
          <val>
            <numRef>
              <f>Sensibilidad!$I$6:$I$11</f>
              <numCache/>
            </numRef>
          </val>
        </ser>
        <ser>
          <idx val="2"/>
          <order val="2"/>
          <tx>
            <v>Puntaje C</v>
          </tx>
          <spPr>
            <a:solidFill xmlns:a="http://schemas.openxmlformats.org/drawingml/2006/main">
              <a:srgbClr val="9BBB59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Sensibilidad!$A$6:$A$11</f>
            </strRef>
          </cat>
          <val>
            <numRef>
              <f>Sensibilidad!$J$6:$J$11</f>
              <numCache/>
            </numRef>
          </val>
        </ser>
        <gapWidth val="150"/>
        <axId val="1769498677"/>
        <axId val="1340172544"/>
      </barChart>
      <catAx>
        <axId val="1769498677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340172544"/>
        <lblOffset val="100"/>
      </catAx>
      <valAx>
        <axId val="1340172544"/>
        <scaling>
          <orientation val="minMax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0%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769498677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4.xml><?xml version="1.0" encoding="utf-8"?>
<chartSpace xmlns="http://schemas.openxmlformats.org/drawingml/2006/chart">
  <chart>
    <plotArea>
      <layout/>
      <lineChart>
        <grouping val="standard"/>
        <ser>
          <idx val="0"/>
          <order val="0"/>
          <tx>
            <v>Puntaje A</v>
          </tx>
          <spPr>
            <a:ln xmlns:a="http://schemas.openxmlformats.org/drawingml/2006/main" w="38100" cmpd="sng">
              <a:solidFill>
                <a:srgbClr val="9D3E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Barrido!$A$6:$A$26</f>
            </strRef>
          </cat>
          <val>
            <numRef>
              <f>Barrido!$B$6:$B$26</f>
              <numCache/>
            </numRef>
          </val>
          <smooth val="1"/>
        </ser>
        <ser>
          <idx val="1"/>
          <order val="1"/>
          <tx>
            <v>Puntaje B</v>
          </tx>
          <spPr>
            <a:ln xmlns:a="http://schemas.openxmlformats.org/drawingml/2006/main" w="38100" cmpd="sng">
              <a:solidFill>
                <a:srgbClr val="BE4B4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Barrido!$A$6:$A$26</f>
            </strRef>
          </cat>
          <val>
            <numRef>
              <f>Barrido!$C$6:$C$26</f>
              <numCache/>
            </numRef>
          </val>
          <smooth val="1"/>
        </ser>
        <ser>
          <idx val="2"/>
          <order val="2"/>
          <tx>
            <v>Puntaje C</v>
          </tx>
          <spPr>
            <a:ln xmlns:a="http://schemas.openxmlformats.org/drawingml/2006/main" w="38100" cmpd="sng">
              <a:solidFill>
                <a:srgbClr val="D4A5A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Barrido!$A$6:$A$26</f>
            </strRef>
          </cat>
          <val>
            <numRef>
              <f>Barrido!$D$6:$D$26</f>
              <numCache/>
            </numRef>
          </val>
          <smooth val="1"/>
        </ser>
        <axId val="1572196843"/>
        <axId val="1246035175"/>
      </lineChart>
      <catAx>
        <axId val="1572196843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Peso del criterio</a:t>
                </a:r>
              </a:p>
            </rich>
          </tx>
          <overlay val="0"/>
        </title>
        <numFmt formatCode="0%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246035175"/>
        <lblOffset val="100"/>
      </catAx>
      <valAx>
        <axId val="1246035175"/>
        <scaling>
          <orientation val="minMax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Puntaje global</a:t>
                </a:r>
              </a:p>
            </rich>
          </tx>
          <overlay val="0"/>
        </title>
        <numFmt formatCode="0%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572196843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5.xml><?xml version="1.0" encoding="utf-8"?>
<chartSpace xmlns="http://schemas.openxmlformats.org/drawingml/2006/chart">
  <chart>
    <plotArea>
      <layout/>
      <lineChart>
        <grouping val="standard"/>
        <ser>
          <idx val="0"/>
          <order val="0"/>
          <tx>
            <v>Puntaje A</v>
          </tx>
          <spPr>
            <a:ln xmlns:a="http://schemas.openxmlformats.org/drawingml/2006/main" w="38100" cmpd="sng">
              <a:solidFill>
                <a:srgbClr val="9D3E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Barrido!$A$32:$A$52</f>
            </strRef>
          </cat>
          <val>
            <numRef>
              <f>Barrido!$B$32:$B$52</f>
              <numCache/>
            </numRef>
          </val>
          <smooth val="1"/>
        </ser>
        <ser>
          <idx val="1"/>
          <order val="1"/>
          <tx>
            <v>Puntaje B</v>
          </tx>
          <spPr>
            <a:ln xmlns:a="http://schemas.openxmlformats.org/drawingml/2006/main" w="38100" cmpd="sng">
              <a:solidFill>
                <a:srgbClr val="BE4B4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Barrido!$A$32:$A$52</f>
            </strRef>
          </cat>
          <val>
            <numRef>
              <f>Barrido!$C$32:$C$52</f>
              <numCache/>
            </numRef>
          </val>
          <smooth val="1"/>
        </ser>
        <ser>
          <idx val="2"/>
          <order val="2"/>
          <tx>
            <v>Puntaje C</v>
          </tx>
          <spPr>
            <a:ln xmlns:a="http://schemas.openxmlformats.org/drawingml/2006/main" w="38100" cmpd="sng">
              <a:solidFill>
                <a:srgbClr val="D4A5A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Barrido!$A$32:$A$52</f>
            </strRef>
          </cat>
          <val>
            <numRef>
              <f>Barrido!$D$32:$D$52</f>
              <numCache/>
            </numRef>
          </val>
          <smooth val="1"/>
        </ser>
        <axId val="1008302198"/>
        <axId val="1785238006"/>
      </lineChart>
      <catAx>
        <axId val="1008302198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Peso del criterio</a:t>
                </a:r>
              </a:p>
            </rich>
          </tx>
          <overlay val="0"/>
        </title>
        <numFmt formatCode="0%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785238006"/>
        <lblOffset val="100"/>
      </catAx>
      <valAx>
        <axId val="1785238006"/>
        <scaling>
          <orientation val="minMax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Puntaje global</a:t>
                </a:r>
              </a:p>
            </rich>
          </tx>
          <overlay val="0"/>
        </title>
        <numFmt formatCode="0%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008302198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6.xml><?xml version="1.0" encoding="utf-8"?>
<chartSpace xmlns="http://schemas.openxmlformats.org/drawingml/2006/chart">
  <chart>
    <plotArea>
      <layout/>
      <lineChart>
        <grouping val="standard"/>
        <ser>
          <idx val="0"/>
          <order val="0"/>
          <tx>
            <v>Puntaje A</v>
          </tx>
          <spPr>
            <a:ln xmlns:a="http://schemas.openxmlformats.org/drawingml/2006/main" w="38100" cmpd="sng">
              <a:solidFill>
                <a:srgbClr val="9D3E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Barrido!$A$58:$A$78</f>
            </strRef>
          </cat>
          <val>
            <numRef>
              <f>Barrido!$B$58:$B$78</f>
              <numCache/>
            </numRef>
          </val>
          <smooth val="1"/>
        </ser>
        <ser>
          <idx val="1"/>
          <order val="1"/>
          <tx>
            <v>Puntaje B</v>
          </tx>
          <spPr>
            <a:ln xmlns:a="http://schemas.openxmlformats.org/drawingml/2006/main" w="38100" cmpd="sng">
              <a:solidFill>
                <a:srgbClr val="BE4B4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Barrido!$A$58:$A$78</f>
            </strRef>
          </cat>
          <val>
            <numRef>
              <f>Barrido!$C$58:$C$78</f>
              <numCache/>
            </numRef>
          </val>
          <smooth val="1"/>
        </ser>
        <ser>
          <idx val="2"/>
          <order val="2"/>
          <tx>
            <v>Puntaje C</v>
          </tx>
          <spPr>
            <a:ln xmlns:a="http://schemas.openxmlformats.org/drawingml/2006/main" w="38100" cmpd="sng">
              <a:solidFill>
                <a:srgbClr val="D4A5A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Barrido!$A$58:$A$78</f>
            </strRef>
          </cat>
          <val>
            <numRef>
              <f>Barrido!$D$58:$D$78</f>
              <numCache/>
            </numRef>
          </val>
          <smooth val="1"/>
        </ser>
        <axId val="2107266915"/>
        <axId val="1995694315"/>
      </lineChart>
      <catAx>
        <axId val="210726691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Peso del criterio</a:t>
                </a:r>
              </a:p>
            </rich>
          </tx>
          <overlay val="0"/>
        </title>
        <numFmt formatCode="0%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995694315"/>
        <lblOffset val="100"/>
      </catAx>
      <valAx>
        <axId val="1995694315"/>
        <scaling>
          <orientation val="minMax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Puntaje global</a:t>
                </a:r>
              </a:p>
            </rich>
          </tx>
          <overlay val="0"/>
        </title>
        <numFmt formatCode="0%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107266915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7.xml><?xml version="1.0" encoding="utf-8"?>
<chartSpace xmlns="http://schemas.openxmlformats.org/drawingml/2006/chart">
  <chart>
    <plotArea>
      <layout/>
      <lineChart>
        <grouping val="standard"/>
        <ser>
          <idx val="0"/>
          <order val="0"/>
          <tx>
            <v>Puntaje A</v>
          </tx>
          <spPr>
            <a:ln xmlns:a="http://schemas.openxmlformats.org/drawingml/2006/main" w="38100" cmpd="sng">
              <a:solidFill>
                <a:srgbClr val="9D3E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Barrido!$A$84:$A$104</f>
            </strRef>
          </cat>
          <val>
            <numRef>
              <f>Barrido!$B$84:$B$104</f>
              <numCache/>
            </numRef>
          </val>
          <smooth val="1"/>
        </ser>
        <ser>
          <idx val="1"/>
          <order val="1"/>
          <tx>
            <v>Puntaje B</v>
          </tx>
          <spPr>
            <a:ln xmlns:a="http://schemas.openxmlformats.org/drawingml/2006/main" w="38100" cmpd="sng">
              <a:solidFill>
                <a:srgbClr val="BE4B4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Barrido!$A$84:$A$104</f>
            </strRef>
          </cat>
          <val>
            <numRef>
              <f>Barrido!$C$84:$C$104</f>
              <numCache/>
            </numRef>
          </val>
          <smooth val="1"/>
        </ser>
        <ser>
          <idx val="2"/>
          <order val="2"/>
          <tx>
            <v>Puntaje C</v>
          </tx>
          <spPr>
            <a:ln xmlns:a="http://schemas.openxmlformats.org/drawingml/2006/main" w="38100" cmpd="sng">
              <a:solidFill>
                <a:srgbClr val="D4A5A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Barrido!$A$84:$A$104</f>
            </strRef>
          </cat>
          <val>
            <numRef>
              <f>Barrido!$D$84:$D$104</f>
              <numCache/>
            </numRef>
          </val>
          <smooth val="1"/>
        </ser>
        <axId val="1085675691"/>
        <axId val="1454235753"/>
      </lineChart>
      <catAx>
        <axId val="1085675691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Peso del criterio</a:t>
                </a:r>
              </a:p>
            </rich>
          </tx>
          <overlay val="0"/>
        </title>
        <numFmt formatCode="0%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454235753"/>
        <lblOffset val="100"/>
      </catAx>
      <valAx>
        <axId val="1454235753"/>
        <scaling>
          <orientation val="minMax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Puntaje global</a:t>
                </a:r>
              </a:p>
            </rich>
          </tx>
          <overlay val="0"/>
        </title>
        <numFmt formatCode="0%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085675691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8.xml><?xml version="1.0" encoding="utf-8"?>
<chartSpace xmlns="http://schemas.openxmlformats.org/drawingml/2006/chart">
  <chart>
    <plotArea>
      <layout/>
      <lineChart>
        <grouping val="standard"/>
        <ser>
          <idx val="0"/>
          <order val="0"/>
          <tx>
            <v>Puntaje A</v>
          </tx>
          <spPr>
            <a:ln xmlns:a="http://schemas.openxmlformats.org/drawingml/2006/main" w="38100" cmpd="sng">
              <a:solidFill>
                <a:srgbClr val="9D3E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Barrido!$A$110:$A$130</f>
            </strRef>
          </cat>
          <val>
            <numRef>
              <f>Barrido!$B$110:$B$130</f>
              <numCache/>
            </numRef>
          </val>
          <smooth val="1"/>
        </ser>
        <ser>
          <idx val="1"/>
          <order val="1"/>
          <tx>
            <v>Puntaje B</v>
          </tx>
          <spPr>
            <a:ln xmlns:a="http://schemas.openxmlformats.org/drawingml/2006/main" w="38100" cmpd="sng">
              <a:solidFill>
                <a:srgbClr val="BE4B4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Barrido!$A$110:$A$130</f>
            </strRef>
          </cat>
          <val>
            <numRef>
              <f>Barrido!$C$110:$C$130</f>
              <numCache/>
            </numRef>
          </val>
          <smooth val="1"/>
        </ser>
        <ser>
          <idx val="2"/>
          <order val="2"/>
          <tx>
            <v>Puntaje C</v>
          </tx>
          <spPr>
            <a:ln xmlns:a="http://schemas.openxmlformats.org/drawingml/2006/main" w="38100" cmpd="sng">
              <a:solidFill>
                <a:srgbClr val="D4A5A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Barrido!$A$110:$A$130</f>
            </strRef>
          </cat>
          <val>
            <numRef>
              <f>Barrido!$D$110:$D$130</f>
              <numCache/>
            </numRef>
          </val>
          <smooth val="1"/>
        </ser>
        <axId val="1942169032"/>
        <axId val="1700319313"/>
      </lineChart>
      <catAx>
        <axId val="1942169032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Peso del criterio</a:t>
                </a:r>
              </a:p>
            </rich>
          </tx>
          <overlay val="0"/>
        </title>
        <numFmt formatCode="0%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700319313"/>
        <lblOffset val="100"/>
      </catAx>
      <valAx>
        <axId val="1700319313"/>
        <scaling>
          <orientation val="minMax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Puntaje global</a:t>
                </a:r>
              </a:p>
            </rich>
          </tx>
          <overlay val="0"/>
        </title>
        <numFmt formatCode="0%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942169032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Relationship Type="http://schemas.openxmlformats.org/officeDocument/2006/relationships/chart" Target="/xl/charts/chart7.xml" Id="rId4"/><Relationship Type="http://schemas.openxmlformats.org/officeDocument/2006/relationships/chart" Target="/xl/charts/chart8.xml" Id="rId5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152400</rowOff>
    </from>
    <ext cx="5476875" cy="301942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8</col>
      <colOff>0</colOff>
      <row>19</row>
      <rowOff>152400</rowOff>
    </from>
    <ext cx="5476875" cy="340042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13</row>
      <rowOff>152400</rowOff>
    </from>
    <ext cx="7534275" cy="320992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2</row>
      <rowOff>152400</rowOff>
    </from>
    <ext cx="5810250" cy="340042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6</col>
      <colOff>0</colOff>
      <row>28</row>
      <rowOff>152400</rowOff>
    </from>
    <ext cx="5810250" cy="340042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6</col>
      <colOff>0</colOff>
      <row>54</row>
      <rowOff>152400</rowOff>
    </from>
    <ext cx="5810250" cy="3400425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  <oneCellAnchor>
    <from>
      <col>6</col>
      <colOff>0</colOff>
      <row>80</row>
      <rowOff>152400</rowOff>
    </from>
    <ext cx="5810250" cy="3400425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fLocksWithSheet="0"/>
  </oneCellAnchor>
  <oneCellAnchor>
    <from>
      <col>6</col>
      <colOff>0</colOff>
      <row>106</row>
      <rowOff>152400</rowOff>
    </from>
    <ext cx="5810250" cy="3400425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42" min="1" max="1"/>
    <col width="44" customWidth="1" style="42" min="2" max="2"/>
    <col width="80" customWidth="1" style="42" min="3" max="3"/>
    <col width="8.710000000000001" customWidth="1" style="42" min="4" max="26"/>
  </cols>
  <sheetData>
    <row r="1">
      <c r="A1" s="1" t="inlineStr">
        <is>
          <t>Matriz AHP – Selección del tema del proyecto final (Eficiencia Energética e IA)</t>
        </is>
      </c>
    </row>
    <row r="2">
      <c r="A2" s="35" t="inlineStr">
        <is>
          <t>Réplica en Excel del método AHP (Analytic Hierarchy Process) con cálculo del vector propio, razón de consistencia (CR) y análisis de sensibilidad.</t>
        </is>
      </c>
    </row>
    <row r="4">
      <c r="A4" s="24" t="inlineStr">
        <is>
          <t>Objetivo</t>
        </is>
      </c>
      <c r="B4" s="4" t="inlineStr">
        <is>
          <t>Meta</t>
        </is>
      </c>
      <c r="C4" s="5" t="inlineStr">
        <is>
          <t>Seleccionar el tema específico del proyecto final sobre optimización de procesos industriales con IA para la eficiencia energética</t>
        </is>
      </c>
    </row>
    <row r="6">
      <c r="A6" s="24" t="inlineStr">
        <is>
          <t>Criterios (editable)</t>
        </is>
      </c>
    </row>
    <row r="7">
      <c r="A7" s="6" t="inlineStr">
        <is>
          <t>N°</t>
        </is>
      </c>
      <c r="B7" s="6" t="inlineStr">
        <is>
          <t>Nombre del criterio</t>
        </is>
      </c>
      <c r="C7" s="6" t="inlineStr">
        <is>
          <t>Descripción</t>
        </is>
      </c>
    </row>
    <row r="8">
      <c r="A8" s="7" t="n">
        <v>1</v>
      </c>
      <c r="B8" s="8" t="inlineStr">
        <is>
          <t>Pertinencia</t>
        </is>
      </c>
      <c r="C8" s="5" t="inlineStr">
        <is>
          <t>Alineación con el perfil de Ing. Industrial y etapa CHECK de ISO 50001</t>
        </is>
      </c>
    </row>
    <row r="9">
      <c r="A9" s="7" t="n">
        <v>2</v>
      </c>
      <c r="B9" s="8" t="inlineStr">
        <is>
          <t>Datos</t>
        </is>
      </c>
      <c r="C9" s="5" t="inlineStr">
        <is>
          <t>Disponibilidad de información, series temporales y datos benchmark</t>
        </is>
      </c>
    </row>
    <row r="10">
      <c r="A10" s="7" t="n">
        <v>3</v>
      </c>
      <c r="B10" s="8" t="inlineStr">
        <is>
          <t>Viabilidad</t>
        </is>
      </c>
      <c r="C10" s="5" t="inlineStr">
        <is>
          <t>Factibilidad técnica, riesgo operativo y requerimientos de cómputo</t>
        </is>
      </c>
    </row>
    <row r="11">
      <c r="A11" s="7" t="n">
        <v>4</v>
      </c>
      <c r="B11" s="8" t="inlineStr">
        <is>
          <t>Impacto</t>
        </is>
      </c>
      <c r="C11" s="5" t="inlineStr">
        <is>
          <t>Aporte de innovación tecnológica, Green AI y explicabilidad (XAI)</t>
        </is>
      </c>
    </row>
    <row r="12">
      <c r="A12" s="7" t="n">
        <v>5</v>
      </c>
      <c r="B12" s="8" t="inlineStr">
        <is>
          <t>Caso_real</t>
        </is>
      </c>
      <c r="C12" s="5" t="inlineStr">
        <is>
          <t>Factibilidad temporal de ejecución en el plazo previsto de 8 a 10 meses</t>
        </is>
      </c>
    </row>
    <row r="14">
      <c r="A14" s="24" t="inlineStr">
        <is>
          <t>Alternativas (editable)</t>
        </is>
      </c>
    </row>
    <row r="15">
      <c r="A15" s="6" t="inlineStr">
        <is>
          <t>Código</t>
        </is>
      </c>
      <c r="B15" s="6" t="inlineStr">
        <is>
          <t>Nombre del tema</t>
        </is>
      </c>
      <c r="C15" s="6" t="inlineStr">
        <is>
          <t>Descripción</t>
        </is>
      </c>
    </row>
    <row r="16">
      <c r="A16" s="10" t="inlineStr">
        <is>
          <t>A</t>
        </is>
      </c>
      <c r="B16" s="8" t="inlineStr">
        <is>
          <t>Prediccion_ML</t>
        </is>
      </c>
      <c r="C16" s="5" t="inlineStr">
        <is>
          <t>Tema A: Predicción de consumo energético industrial con Machine Learning</t>
        </is>
      </c>
    </row>
    <row r="17">
      <c r="A17" s="10" t="inlineStr">
        <is>
          <t>B</t>
        </is>
      </c>
      <c r="B17" s="8" t="inlineStr">
        <is>
          <t>Setpoints_RL</t>
        </is>
      </c>
      <c r="C17" s="5" t="inlineStr">
        <is>
          <t>Tema B: Optimización de setpoints de proceso con Reinforcement Learning</t>
        </is>
      </c>
    </row>
    <row r="18">
      <c r="A18" s="10" t="inlineStr">
        <is>
          <t>C</t>
        </is>
      </c>
      <c r="B18" s="8" t="inlineStr">
        <is>
          <t>Anomalias_GreenAI</t>
        </is>
      </c>
      <c r="C18" s="5" t="inlineStr">
        <is>
          <t>Tema C: Detección de anomalías energéticas con IA y enfoque Green AI</t>
        </is>
      </c>
    </row>
    <row r="20">
      <c r="A20" s="24" t="inlineStr">
        <is>
          <t>Índice de consistencia aleatorio (RI, Saaty)</t>
        </is>
      </c>
    </row>
    <row r="21" ht="15.75" customHeight="1" s="42">
      <c r="A21" s="6" t="inlineStr">
        <is>
          <t>n</t>
        </is>
      </c>
      <c r="B21" s="6" t="inlineStr">
        <is>
          <t>RI</t>
        </is>
      </c>
    </row>
    <row r="22" ht="15.75" customHeight="1" s="42">
      <c r="A22" s="7" t="n">
        <v>1</v>
      </c>
      <c r="B22" s="11" t="n">
        <v>0</v>
      </c>
      <c r="C22" s="35" t="inlineStr">
        <is>
          <t>Fuente: valores estándar de Saaty para matrices de 1 a 5 elementos.</t>
        </is>
      </c>
    </row>
    <row r="23" ht="15.75" customHeight="1" s="42">
      <c r="A23" s="7" t="n">
        <v>2</v>
      </c>
      <c r="B23" s="11" t="n">
        <v>0</v>
      </c>
    </row>
    <row r="24" ht="15.75" customHeight="1" s="42">
      <c r="A24" s="7" t="n">
        <v>3</v>
      </c>
      <c r="B24" s="11" t="n">
        <v>0.58</v>
      </c>
    </row>
    <row r="25" ht="15.75" customHeight="1" s="42">
      <c r="A25" s="7" t="n">
        <v>4</v>
      </c>
      <c r="B25" s="11" t="n">
        <v>0.9</v>
      </c>
    </row>
    <row r="26" ht="15.75" customHeight="1" s="42">
      <c r="A26" s="7" t="n">
        <v>5</v>
      </c>
      <c r="B26" s="11" t="n">
        <v>1.12</v>
      </c>
    </row>
    <row r="27" ht="15.75" customHeight="1" s="42"/>
    <row r="28" ht="15.75" customHeight="1" s="42">
      <c r="A28" s="24" t="inlineStr">
        <is>
          <t>Escala de Saaty</t>
        </is>
      </c>
    </row>
    <row r="29" ht="15.75" customHeight="1" s="42">
      <c r="A29" s="6" t="inlineStr">
        <is>
          <t>Valor</t>
        </is>
      </c>
      <c r="B29" s="6" t="inlineStr">
        <is>
          <t>Significado</t>
        </is>
      </c>
    </row>
    <row r="30" ht="15.75" customHeight="1" s="42">
      <c r="A30" s="7" t="n">
        <v>1</v>
      </c>
      <c r="B30" s="13" t="inlineStr">
        <is>
          <t>Igual importancia</t>
        </is>
      </c>
    </row>
    <row r="31" ht="15.75" customHeight="1" s="42">
      <c r="A31" s="7" t="n">
        <v>3</v>
      </c>
      <c r="B31" s="13" t="inlineStr">
        <is>
          <t>Importancia moderada</t>
        </is>
      </c>
    </row>
    <row r="32" ht="15.75" customHeight="1" s="42">
      <c r="A32" s="7" t="n">
        <v>5</v>
      </c>
      <c r="B32" s="13" t="inlineStr">
        <is>
          <t>Importancia fuerte</t>
        </is>
      </c>
    </row>
    <row r="33" ht="15.75" customHeight="1" s="42">
      <c r="A33" s="7" t="n">
        <v>7</v>
      </c>
      <c r="B33" s="13" t="inlineStr">
        <is>
          <t>Importancia muy fuerte</t>
        </is>
      </c>
    </row>
    <row r="34" ht="15.75" customHeight="1" s="42">
      <c r="A34" s="7" t="n">
        <v>9</v>
      </c>
      <c r="B34" s="13" t="inlineStr">
        <is>
          <t>Importancia extrema</t>
        </is>
      </c>
    </row>
    <row r="35" ht="15.75" customHeight="1" s="42">
      <c r="A35" s="7" t="inlineStr">
        <is>
          <t>2,4,6,8</t>
        </is>
      </c>
      <c r="B35" s="13" t="inlineStr">
        <is>
          <t>Valores intermedios</t>
        </is>
      </c>
    </row>
    <row r="36" ht="15.75" customHeight="1" s="42"/>
    <row r="37" ht="15.75" customHeight="1" s="42">
      <c r="A37" s="24" t="n"/>
    </row>
    <row r="38" ht="15.75" customHeight="1" s="42">
      <c r="A38" s="15" t="n"/>
    </row>
    <row r="39" ht="15.75" customHeight="1" s="42">
      <c r="A39" s="15" t="n"/>
    </row>
    <row r="40" ht="15.75" customHeight="1" s="42">
      <c r="A40" s="15" t="n"/>
    </row>
    <row r="41" ht="15.75" customHeight="1" s="42">
      <c r="A41" s="15" t="n"/>
    </row>
    <row r="42" ht="15.75" customHeight="1" s="42">
      <c r="A42" s="15" t="n"/>
    </row>
    <row r="43" ht="15.75" customHeight="1" s="42">
      <c r="A43" s="15" t="n"/>
    </row>
    <row r="44" ht="15.75" customHeight="1" s="42">
      <c r="A44" s="15" t="n"/>
    </row>
    <row r="45" ht="15.75" customHeight="1" s="42"/>
    <row r="46" ht="15.75" customHeight="1" s="42"/>
    <row r="47" ht="15.75" customHeight="1" s="42"/>
    <row r="48" ht="15.75" customHeight="1" s="42"/>
    <row r="49" ht="15.75" customHeight="1" s="42"/>
    <row r="50" ht="15.75" customHeight="1" s="42"/>
    <row r="51" ht="15.75" customHeight="1" s="42"/>
    <row r="52" ht="15.75" customHeight="1" s="42"/>
    <row r="53" ht="15.75" customHeight="1" s="42"/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42" min="1" max="1"/>
    <col width="32" customWidth="1" style="42" min="2" max="3"/>
    <col width="14" customWidth="1" style="42" min="4" max="4"/>
    <col width="12" customWidth="1" style="42" min="5" max="6"/>
    <col width="50" customWidth="1" style="42" min="7" max="7"/>
    <col width="8.710000000000001" customWidth="1" style="42" min="8" max="26"/>
  </cols>
  <sheetData>
    <row r="1">
      <c r="A1" s="1">
        <f>"Comparación por pares de los CRITERIOS respecto al objetivo: "&amp;Inicio!$C$4</f>
        <v/>
      </c>
    </row>
    <row r="2">
      <c r="A2" s="35" t="inlineStr">
        <is>
          <t>Elija en 'Prefiere' cuál es más importante (Izquierda / Derecha / Igual) y en 'Valor' cuánto más (1 a 9, escala de Saaty). Edite solo las celdas amarillas.</t>
        </is>
      </c>
    </row>
    <row r="3">
      <c r="A3" s="35" t="inlineStr">
        <is>
          <t>Escala: 1 igual · 3 moderada · 5 fuerte · 7 muy fuerte · 9 extrema (2, 4, 6, 8 intermedios).</t>
        </is>
      </c>
    </row>
    <row r="5">
      <c r="A5" s="24" t="inlineStr">
        <is>
          <t>1. Juicios de comparación por pares</t>
        </is>
      </c>
    </row>
    <row r="6">
      <c r="A6" s="6" t="inlineStr">
        <is>
          <t>N°</t>
        </is>
      </c>
      <c r="B6" s="6" t="inlineStr">
        <is>
          <t>Izquierda</t>
        </is>
      </c>
      <c r="C6" s="6" t="inlineStr">
        <is>
          <t>Derecha</t>
        </is>
      </c>
      <c r="D6" s="6" t="inlineStr">
        <is>
          <t>Prefiere</t>
        </is>
      </c>
      <c r="E6" s="6" t="inlineStr">
        <is>
          <t>Valor (1-9)</t>
        </is>
      </c>
      <c r="F6" s="6" t="inlineStr">
        <is>
          <t>a(i,j)</t>
        </is>
      </c>
      <c r="G6" s="6" t="inlineStr">
        <is>
          <t>Lectura</t>
        </is>
      </c>
    </row>
    <row r="7">
      <c r="A7" s="7" t="n">
        <v>1</v>
      </c>
      <c r="B7" s="9">
        <f>Inicio!$B$8</f>
        <v/>
      </c>
      <c r="C7" s="9">
        <f>Inicio!$B$9</f>
        <v/>
      </c>
      <c r="D7" s="10" t="inlineStr">
        <is>
          <t>Igual</t>
        </is>
      </c>
      <c r="E7" s="10" t="n">
        <v>1</v>
      </c>
      <c r="F7" s="12">
        <f>IF(D7="Izquierda",E7,IF(D7="Derecha",1/E7,1))</f>
        <v/>
      </c>
      <c r="G7" s="14">
        <f>IF(D7="Igual",B7&amp;" = "&amp;C7,IF(D7="Izquierda",B7&amp;" &gt; "&amp;C7&amp;" (x"&amp;E7&amp;")",C7&amp;" &gt; "&amp;B7&amp;" (x"&amp;E7&amp;")"))</f>
        <v/>
      </c>
    </row>
    <row r="8">
      <c r="A8" s="7" t="n">
        <v>2</v>
      </c>
      <c r="B8" s="9">
        <f>Inicio!$B$8</f>
        <v/>
      </c>
      <c r="C8" s="9">
        <f>Inicio!$B$10</f>
        <v/>
      </c>
      <c r="D8" s="10" t="inlineStr">
        <is>
          <t>Igual</t>
        </is>
      </c>
      <c r="E8" s="10" t="n">
        <v>1</v>
      </c>
      <c r="F8" s="12">
        <f>IF(D8="Izquierda",E8,IF(D8="Derecha",1/E8,1))</f>
        <v/>
      </c>
      <c r="G8" s="14">
        <f>IF(D8="Igual",B8&amp;" = "&amp;C8,IF(D8="Izquierda",B8&amp;" &gt; "&amp;C8&amp;" (x"&amp;E8&amp;")",C8&amp;" &gt; "&amp;B8&amp;" (x"&amp;E8&amp;")"))</f>
        <v/>
      </c>
    </row>
    <row r="9">
      <c r="A9" s="7" t="n">
        <v>3</v>
      </c>
      <c r="B9" s="9">
        <f>Inicio!$B$8</f>
        <v/>
      </c>
      <c r="C9" s="9">
        <f>Inicio!$B$11</f>
        <v/>
      </c>
      <c r="D9" s="10" t="inlineStr">
        <is>
          <t>Izquierda</t>
        </is>
      </c>
      <c r="E9" s="10" t="n">
        <v>2</v>
      </c>
      <c r="F9" s="12">
        <f>IF(D9="Izquierda",E9,IF(D9="Derecha",1/E9,1))</f>
        <v/>
      </c>
      <c r="G9" s="14">
        <f>IF(D9="Igual",B9&amp;" = "&amp;C9,IF(D9="Izquierda",B9&amp;" &gt; "&amp;C9&amp;" (x"&amp;E9&amp;")",C9&amp;" &gt; "&amp;B9&amp;" (x"&amp;E9&amp;")"))</f>
        <v/>
      </c>
    </row>
    <row r="10">
      <c r="A10" s="7" t="n">
        <v>4</v>
      </c>
      <c r="B10" s="9">
        <f>Inicio!$B$8</f>
        <v/>
      </c>
      <c r="C10" s="9">
        <f>Inicio!$B$12</f>
        <v/>
      </c>
      <c r="D10" s="10" t="inlineStr">
        <is>
          <t>Izquierda</t>
        </is>
      </c>
      <c r="E10" s="10" t="n">
        <v>2</v>
      </c>
      <c r="F10" s="12">
        <f>IF(D10="Izquierda",E10,IF(D10="Derecha",1/E10,1))</f>
        <v/>
      </c>
      <c r="G10" s="14">
        <f>IF(D10="Igual",B10&amp;" = "&amp;C10,IF(D10="Izquierda",B10&amp;" &gt; "&amp;C10&amp;" (x"&amp;E10&amp;")",C10&amp;" &gt; "&amp;B10&amp;" (x"&amp;E10&amp;")"))</f>
        <v/>
      </c>
    </row>
    <row r="11">
      <c r="A11" s="7" t="n">
        <v>5</v>
      </c>
      <c r="B11" s="9">
        <f>Inicio!$B$9</f>
        <v/>
      </c>
      <c r="C11" s="9">
        <f>Inicio!$B$10</f>
        <v/>
      </c>
      <c r="D11" s="10" t="inlineStr">
        <is>
          <t>Igual</t>
        </is>
      </c>
      <c r="E11" s="10" t="n">
        <v>1</v>
      </c>
      <c r="F11" s="12">
        <f>IF(D11="Izquierda",E11,IF(D11="Derecha",1/E11,1))</f>
        <v/>
      </c>
      <c r="G11" s="14">
        <f>IF(D11="Igual",B11&amp;" = "&amp;C11,IF(D11="Izquierda",B11&amp;" &gt; "&amp;C11&amp;" (x"&amp;E11&amp;")",C11&amp;" &gt; "&amp;B11&amp;" (x"&amp;E11&amp;")"))</f>
        <v/>
      </c>
    </row>
    <row r="12">
      <c r="A12" s="7" t="n">
        <v>6</v>
      </c>
      <c r="B12" s="9">
        <f>Inicio!$B$9</f>
        <v/>
      </c>
      <c r="C12" s="9">
        <f>Inicio!$B$11</f>
        <v/>
      </c>
      <c r="D12" s="10" t="inlineStr">
        <is>
          <t>Igual</t>
        </is>
      </c>
      <c r="E12" s="10" t="n">
        <v>1</v>
      </c>
      <c r="F12" s="12">
        <f>IF(D12="Izquierda",E12,IF(D12="Derecha",1/E12,1))</f>
        <v/>
      </c>
      <c r="G12" s="14">
        <f>IF(D12="Igual",B12&amp;" = "&amp;C12,IF(D12="Izquierda",B12&amp;" &gt; "&amp;C12&amp;" (x"&amp;E12&amp;")",C12&amp;" &gt; "&amp;B12&amp;" (x"&amp;E12&amp;")"))</f>
        <v/>
      </c>
    </row>
    <row r="13">
      <c r="A13" s="7" t="n">
        <v>7</v>
      </c>
      <c r="B13" s="9">
        <f>Inicio!$B$9</f>
        <v/>
      </c>
      <c r="C13" s="9">
        <f>Inicio!$B$12</f>
        <v/>
      </c>
      <c r="D13" s="10" t="inlineStr">
        <is>
          <t>Igual</t>
        </is>
      </c>
      <c r="E13" s="10" t="n">
        <v>1</v>
      </c>
      <c r="F13" s="12">
        <f>IF(D13="Izquierda",E13,IF(D13="Derecha",1/E13,1))</f>
        <v/>
      </c>
      <c r="G13" s="14">
        <f>IF(D13="Igual",B13&amp;" = "&amp;C13,IF(D13="Izquierda",B13&amp;" &gt; "&amp;C13&amp;" (x"&amp;E13&amp;")",C13&amp;" &gt; "&amp;B13&amp;" (x"&amp;E13&amp;")"))</f>
        <v/>
      </c>
    </row>
    <row r="14">
      <c r="A14" s="7" t="n">
        <v>8</v>
      </c>
      <c r="B14" s="9">
        <f>Inicio!$B$10</f>
        <v/>
      </c>
      <c r="C14" s="9">
        <f>Inicio!$B$11</f>
        <v/>
      </c>
      <c r="D14" s="10" t="inlineStr">
        <is>
          <t>Izquierda</t>
        </is>
      </c>
      <c r="E14" s="10" t="n">
        <v>2</v>
      </c>
      <c r="F14" s="12">
        <f>IF(D14="Izquierda",E14,IF(D14="Derecha",1/E14,1))</f>
        <v/>
      </c>
      <c r="G14" s="14">
        <f>IF(D14="Igual",B14&amp;" = "&amp;C14,IF(D14="Izquierda",B14&amp;" &gt; "&amp;C14&amp;" (x"&amp;E14&amp;")",C14&amp;" &gt; "&amp;B14&amp;" (x"&amp;E14&amp;")"))</f>
        <v/>
      </c>
    </row>
    <row r="15">
      <c r="A15" s="7" t="n">
        <v>9</v>
      </c>
      <c r="B15" s="9">
        <f>Inicio!$B$10</f>
        <v/>
      </c>
      <c r="C15" s="9">
        <f>Inicio!$B$12</f>
        <v/>
      </c>
      <c r="D15" s="10" t="inlineStr">
        <is>
          <t>Izquierda</t>
        </is>
      </c>
      <c r="E15" s="10" t="n">
        <v>2</v>
      </c>
      <c r="F15" s="12">
        <f>IF(D15="Izquierda",E15,IF(D15="Derecha",1/E15,1))</f>
        <v/>
      </c>
      <c r="G15" s="14">
        <f>IF(D15="Igual",B15&amp;" = "&amp;C15,IF(D15="Izquierda",B15&amp;" &gt; "&amp;C15&amp;" (x"&amp;E15&amp;")",C15&amp;" &gt; "&amp;B15&amp;" (x"&amp;E15&amp;")"))</f>
        <v/>
      </c>
    </row>
    <row r="16">
      <c r="A16" s="7" t="n">
        <v>10</v>
      </c>
      <c r="B16" s="9">
        <f>Inicio!$B$11</f>
        <v/>
      </c>
      <c r="C16" s="9">
        <f>Inicio!$B$12</f>
        <v/>
      </c>
      <c r="D16" s="10" t="inlineStr">
        <is>
          <t>Igual</t>
        </is>
      </c>
      <c r="E16" s="10" t="n">
        <v>1</v>
      </c>
      <c r="F16" s="12">
        <f>IF(D16="Izquierda",E16,IF(D16="Derecha",1/E16,1))</f>
        <v/>
      </c>
      <c r="G16" s="14">
        <f>IF(D16="Igual",B16&amp;" = "&amp;C16,IF(D16="Izquierda",B16&amp;" &gt; "&amp;C16&amp;" (x"&amp;E16&amp;")",C16&amp;" &gt; "&amp;B16&amp;" (x"&amp;E16&amp;")"))</f>
        <v/>
      </c>
    </row>
    <row r="18">
      <c r="A18" s="24" t="inlineStr">
        <is>
          <t>2. Matriz de comparación y prioridades</t>
        </is>
      </c>
    </row>
    <row r="19">
      <c r="A19" s="6" t="n"/>
      <c r="B19" s="6">
        <f>Inicio!$B$8</f>
        <v/>
      </c>
      <c r="C19" s="6">
        <f>Inicio!$B$9</f>
        <v/>
      </c>
      <c r="D19" s="6">
        <f>Inicio!$B$10</f>
        <v/>
      </c>
      <c r="E19" s="6">
        <f>Inicio!$B$11</f>
        <v/>
      </c>
      <c r="F19" s="6">
        <f>Inicio!$B$12</f>
        <v/>
      </c>
      <c r="G19" s="6" t="inlineStr">
        <is>
          <t>Prioridad</t>
        </is>
      </c>
      <c r="H19" s="6" t="inlineStr">
        <is>
          <t>Posición</t>
        </is>
      </c>
    </row>
    <row r="20">
      <c r="A20" s="16">
        <f>Inicio!$B$8</f>
        <v/>
      </c>
      <c r="B20" s="12" t="n">
        <v>1</v>
      </c>
      <c r="C20" s="12">
        <f>F7</f>
        <v/>
      </c>
      <c r="D20" s="12">
        <f>F8</f>
        <v/>
      </c>
      <c r="E20" s="12">
        <f>F9</f>
        <v/>
      </c>
      <c r="F20" s="12">
        <f>F10</f>
        <v/>
      </c>
      <c r="G20" s="17">
        <f>B62</f>
        <v/>
      </c>
      <c r="H20" s="7">
        <f>RANK(G20,$G$20:$G$24)</f>
        <v/>
      </c>
    </row>
    <row r="21" ht="15.75" customHeight="1" s="42">
      <c r="A21" s="16">
        <f>Inicio!$B$9</f>
        <v/>
      </c>
      <c r="B21" s="12">
        <f>1/C20</f>
        <v/>
      </c>
      <c r="C21" s="12" t="n">
        <v>1</v>
      </c>
      <c r="D21" s="12">
        <f>F11</f>
        <v/>
      </c>
      <c r="E21" s="12">
        <f>F12</f>
        <v/>
      </c>
      <c r="F21" s="12">
        <f>F13</f>
        <v/>
      </c>
      <c r="G21" s="17">
        <f>C62</f>
        <v/>
      </c>
      <c r="H21" s="7">
        <f>RANK(G21,$G$20:$G$24)</f>
        <v/>
      </c>
    </row>
    <row r="22" ht="15.75" customHeight="1" s="42">
      <c r="A22" s="16">
        <f>Inicio!$B$10</f>
        <v/>
      </c>
      <c r="B22" s="12">
        <f>1/D20</f>
        <v/>
      </c>
      <c r="C22" s="12">
        <f>1/D21</f>
        <v/>
      </c>
      <c r="D22" s="12" t="n">
        <v>1</v>
      </c>
      <c r="E22" s="12">
        <f>F14</f>
        <v/>
      </c>
      <c r="F22" s="12">
        <f>F15</f>
        <v/>
      </c>
      <c r="G22" s="17">
        <f>D62</f>
        <v/>
      </c>
      <c r="H22" s="7">
        <f>RANK(G22,$G$20:$G$24)</f>
        <v/>
      </c>
    </row>
    <row r="23" ht="15.75" customHeight="1" s="42">
      <c r="A23" s="16">
        <f>Inicio!$B$11</f>
        <v/>
      </c>
      <c r="B23" s="12">
        <f>1/E20</f>
        <v/>
      </c>
      <c r="C23" s="12">
        <f>1/E21</f>
        <v/>
      </c>
      <c r="D23" s="12">
        <f>1/E22</f>
        <v/>
      </c>
      <c r="E23" s="12" t="n">
        <v>1</v>
      </c>
      <c r="F23" s="12">
        <f>F16</f>
        <v/>
      </c>
      <c r="G23" s="17">
        <f>E62</f>
        <v/>
      </c>
      <c r="H23" s="7">
        <f>RANK(G23,$G$20:$G$24)</f>
        <v/>
      </c>
    </row>
    <row r="24" ht="15.75" customHeight="1" s="42">
      <c r="A24" s="16">
        <f>Inicio!$B$12</f>
        <v/>
      </c>
      <c r="B24" s="12">
        <f>1/F20</f>
        <v/>
      </c>
      <c r="C24" s="12">
        <f>1/F21</f>
        <v/>
      </c>
      <c r="D24" s="12">
        <f>1/F22</f>
        <v/>
      </c>
      <c r="E24" s="12">
        <f>1/F23</f>
        <v/>
      </c>
      <c r="F24" s="12" t="n">
        <v>1</v>
      </c>
      <c r="G24" s="17">
        <f>F62</f>
        <v/>
      </c>
      <c r="H24" s="7">
        <f>RANK(G24,$G$20:$G$24)</f>
        <v/>
      </c>
    </row>
    <row r="25" ht="15.75" customHeight="1" s="42">
      <c r="A25" s="16" t="inlineStr">
        <is>
          <t>Suma columna</t>
        </is>
      </c>
      <c r="B25" s="18">
        <f>SUM(B20:B24)</f>
        <v/>
      </c>
      <c r="C25" s="18">
        <f>SUM(C20:C24)</f>
        <v/>
      </c>
      <c r="D25" s="18">
        <f>SUM(D20:D24)</f>
        <v/>
      </c>
      <c r="E25" s="18">
        <f>SUM(E20:E24)</f>
        <v/>
      </c>
      <c r="F25" s="18">
        <f>SUM(F20:F24)</f>
        <v/>
      </c>
    </row>
    <row r="26" ht="15.75" customHeight="1" s="42"/>
    <row r="27" ht="15.75" customHeight="1" s="42">
      <c r="A27" s="24" t="inlineStr">
        <is>
          <t>Consistencia</t>
        </is>
      </c>
    </row>
    <row r="28" ht="15.75" customHeight="1" s="42">
      <c r="A28" s="4" t="inlineStr">
        <is>
          <t>λ máx</t>
        </is>
      </c>
      <c r="B28" s="19">
        <f>SUMPRODUCT($B$25:$F$25,$B$62:$F$62)</f>
        <v/>
      </c>
    </row>
    <row r="29" ht="15.75" customHeight="1" s="42">
      <c r="A29" s="4" t="inlineStr">
        <is>
          <t>CI</t>
        </is>
      </c>
      <c r="B29" s="19">
        <f>(B28-5)/(5-1)</f>
        <v/>
      </c>
    </row>
    <row r="30" ht="15.75" customHeight="1" s="42">
      <c r="A30" s="4" t="inlineStr">
        <is>
          <t>RI</t>
        </is>
      </c>
      <c r="B30" s="20">
        <f t="array" ref="B30">INDEX(Inicio!$B$22:$B$26,5)</f>
        <v/>
      </c>
    </row>
    <row r="31" ht="15.75" customHeight="1" s="42">
      <c r="A31" s="4" t="inlineStr">
        <is>
          <t>CR</t>
        </is>
      </c>
      <c r="B31" s="21">
        <f>IF(B30=0,0,B29/B30)</f>
        <v/>
      </c>
    </row>
    <row r="32" ht="15.75" customHeight="1" s="42">
      <c r="A32" s="4" t="inlineStr">
        <is>
          <t>Estado</t>
        </is>
      </c>
      <c r="B32" s="22">
        <f>IF(B31&lt;0.1,"OK (CR &lt; 10 %)","REVISAR: CR ≥ 10 %")</f>
        <v/>
      </c>
    </row>
    <row r="33" ht="15.75" customHeight="1" s="42"/>
    <row r="34" ht="15.75" customHeight="1" s="42"/>
    <row r="35" ht="15.75" customHeight="1" s="42">
      <c r="A35" s="24" t="inlineStr">
        <is>
          <t>3. Cálculo del vector propio (método de las potencias, 25 iteraciones)</t>
        </is>
      </c>
    </row>
    <row r="36" ht="15.75" customHeight="1" s="42">
      <c r="A36" s="6" t="inlineStr">
        <is>
          <t>Iteración</t>
        </is>
      </c>
      <c r="B36" s="6">
        <f>Inicio!$B$8</f>
        <v/>
      </c>
      <c r="C36" s="6">
        <f>Inicio!$B$9</f>
        <v/>
      </c>
      <c r="D36" s="6">
        <f>Inicio!$B$10</f>
        <v/>
      </c>
      <c r="E36" s="6">
        <f>Inicio!$B$11</f>
        <v/>
      </c>
      <c r="F36" s="6">
        <f>Inicio!$B$12</f>
        <v/>
      </c>
    </row>
    <row r="37" ht="15.75" customHeight="1" s="42">
      <c r="A37" s="7" t="n">
        <v>0</v>
      </c>
      <c r="B37" s="23">
        <f>1/5</f>
        <v/>
      </c>
      <c r="C37" s="23">
        <f>1/5</f>
        <v/>
      </c>
      <c r="D37" s="23">
        <f>1/5</f>
        <v/>
      </c>
      <c r="E37" s="23">
        <f>1/5</f>
        <v/>
      </c>
      <c r="F37" s="23">
        <f>1/5</f>
        <v/>
      </c>
    </row>
    <row r="38" ht="15.75" customHeight="1" s="42">
      <c r="A38" s="7" t="n">
        <v>1</v>
      </c>
      <c r="B38" s="23">
        <f>SUMPRODUCT($B$20:$F$20,$B37:$F37)/SUMPRODUCT($B$25:$F$25,$B37:$F37)</f>
        <v/>
      </c>
      <c r="C38" s="23">
        <f>SUMPRODUCT($B$21:$F$21,$B37:$F37)/SUMPRODUCT($B$25:$F$25,$B37:$F37)</f>
        <v/>
      </c>
      <c r="D38" s="23">
        <f>SUMPRODUCT($B$22:$F$22,$B37:$F37)/SUMPRODUCT($B$25:$F$25,$B37:$F37)</f>
        <v/>
      </c>
      <c r="E38" s="23">
        <f>SUMPRODUCT($B$23:$F$23,$B37:$F37)/SUMPRODUCT($B$25:$F$25,$B37:$F37)</f>
        <v/>
      </c>
      <c r="F38" s="23">
        <f>SUMPRODUCT($B$24:$F$24,$B37:$F37)/SUMPRODUCT($B$25:$F$25,$B37:$F37)</f>
        <v/>
      </c>
    </row>
    <row r="39" ht="15.75" customHeight="1" s="42">
      <c r="A39" s="7" t="n">
        <v>2</v>
      </c>
      <c r="B39" s="23">
        <f>SUMPRODUCT($B$20:$F$20,$B38:$F38)/SUMPRODUCT($B$25:$F$25,$B38:$F38)</f>
        <v/>
      </c>
      <c r="C39" s="23">
        <f>SUMPRODUCT($B$21:$F$21,$B38:$F38)/SUMPRODUCT($B$25:$F$25,$B38:$F38)</f>
        <v/>
      </c>
      <c r="D39" s="23">
        <f>SUMPRODUCT($B$22:$F$22,$B38:$F38)/SUMPRODUCT($B$25:$F$25,$B38:$F38)</f>
        <v/>
      </c>
      <c r="E39" s="23">
        <f>SUMPRODUCT($B$23:$F$23,$B38:$F38)/SUMPRODUCT($B$25:$F$25,$B38:$F38)</f>
        <v/>
      </c>
      <c r="F39" s="23">
        <f>SUMPRODUCT($B$24:$F$24,$B38:$F38)/SUMPRODUCT($B$25:$F$25,$B38:$F38)</f>
        <v/>
      </c>
    </row>
    <row r="40" ht="15.75" customHeight="1" s="42">
      <c r="A40" s="7" t="n">
        <v>3</v>
      </c>
      <c r="B40" s="23">
        <f>SUMPRODUCT($B$20:$F$20,$B39:$F39)/SUMPRODUCT($B$25:$F$25,$B39:$F39)</f>
        <v/>
      </c>
      <c r="C40" s="23">
        <f>SUMPRODUCT($B$21:$F$21,$B39:$F39)/SUMPRODUCT($B$25:$F$25,$B39:$F39)</f>
        <v/>
      </c>
      <c r="D40" s="23">
        <f>SUMPRODUCT($B$22:$F$22,$B39:$F39)/SUMPRODUCT($B$25:$F$25,$B39:$F39)</f>
        <v/>
      </c>
      <c r="E40" s="23">
        <f>SUMPRODUCT($B$23:$F$23,$B39:$F39)/SUMPRODUCT($B$25:$F$25,$B39:$F39)</f>
        <v/>
      </c>
      <c r="F40" s="23">
        <f>SUMPRODUCT($B$24:$F$24,$B39:$F39)/SUMPRODUCT($B$25:$F$25,$B39:$F39)</f>
        <v/>
      </c>
    </row>
    <row r="41" ht="15.75" customHeight="1" s="42">
      <c r="A41" s="7" t="n">
        <v>4</v>
      </c>
      <c r="B41" s="23">
        <f>SUMPRODUCT($B$20:$F$20,$B40:$F40)/SUMPRODUCT($B$25:$F$25,$B40:$F40)</f>
        <v/>
      </c>
      <c r="C41" s="23">
        <f>SUMPRODUCT($B$21:$F$21,$B40:$F40)/SUMPRODUCT($B$25:$F$25,$B40:$F40)</f>
        <v/>
      </c>
      <c r="D41" s="23">
        <f>SUMPRODUCT($B$22:$F$22,$B40:$F40)/SUMPRODUCT($B$25:$F$25,$B40:$F40)</f>
        <v/>
      </c>
      <c r="E41" s="23">
        <f>SUMPRODUCT($B$23:$F$23,$B40:$F40)/SUMPRODUCT($B$25:$F$25,$B40:$F40)</f>
        <v/>
      </c>
      <c r="F41" s="23">
        <f>SUMPRODUCT($B$24:$F$24,$B40:$F40)/SUMPRODUCT($B$25:$F$25,$B40:$F40)</f>
        <v/>
      </c>
    </row>
    <row r="42" ht="15.75" customHeight="1" s="42">
      <c r="A42" s="7" t="n">
        <v>5</v>
      </c>
      <c r="B42" s="23">
        <f>SUMPRODUCT($B$20:$F$20,$B41:$F41)/SUMPRODUCT($B$25:$F$25,$B41:$F41)</f>
        <v/>
      </c>
      <c r="C42" s="23">
        <f>SUMPRODUCT($B$21:$F$21,$B41:$F41)/SUMPRODUCT($B$25:$F$25,$B41:$F41)</f>
        <v/>
      </c>
      <c r="D42" s="23">
        <f>SUMPRODUCT($B$22:$F$22,$B41:$F41)/SUMPRODUCT($B$25:$F$25,$B41:$F41)</f>
        <v/>
      </c>
      <c r="E42" s="23">
        <f>SUMPRODUCT($B$23:$F$23,$B41:$F41)/SUMPRODUCT($B$25:$F$25,$B41:$F41)</f>
        <v/>
      </c>
      <c r="F42" s="23">
        <f>SUMPRODUCT($B$24:$F$24,$B41:$F41)/SUMPRODUCT($B$25:$F$25,$B41:$F41)</f>
        <v/>
      </c>
    </row>
    <row r="43" ht="15.75" customHeight="1" s="42">
      <c r="A43" s="7" t="n">
        <v>6</v>
      </c>
      <c r="B43" s="23">
        <f>SUMPRODUCT($B$20:$F$20,$B42:$F42)/SUMPRODUCT($B$25:$F$25,$B42:$F42)</f>
        <v/>
      </c>
      <c r="C43" s="23">
        <f>SUMPRODUCT($B$21:$F$21,$B42:$F42)/SUMPRODUCT($B$25:$F$25,$B42:$F42)</f>
        <v/>
      </c>
      <c r="D43" s="23">
        <f>SUMPRODUCT($B$22:$F$22,$B42:$F42)/SUMPRODUCT($B$25:$F$25,$B42:$F42)</f>
        <v/>
      </c>
      <c r="E43" s="23">
        <f>SUMPRODUCT($B$23:$F$23,$B42:$F42)/SUMPRODUCT($B$25:$F$25,$B42:$F42)</f>
        <v/>
      </c>
      <c r="F43" s="23">
        <f>SUMPRODUCT($B$24:$F$24,$B42:$F42)/SUMPRODUCT($B$25:$F$25,$B42:$F42)</f>
        <v/>
      </c>
    </row>
    <row r="44" ht="15.75" customHeight="1" s="42">
      <c r="A44" s="7" t="n">
        <v>7</v>
      </c>
      <c r="B44" s="23">
        <f>SUMPRODUCT($B$20:$F$20,$B43:$F43)/SUMPRODUCT($B$25:$F$25,$B43:$F43)</f>
        <v/>
      </c>
      <c r="C44" s="23">
        <f>SUMPRODUCT($B$21:$F$21,$B43:$F43)/SUMPRODUCT($B$25:$F$25,$B43:$F43)</f>
        <v/>
      </c>
      <c r="D44" s="23">
        <f>SUMPRODUCT($B$22:$F$22,$B43:$F43)/SUMPRODUCT($B$25:$F$25,$B43:$F43)</f>
        <v/>
      </c>
      <c r="E44" s="23">
        <f>SUMPRODUCT($B$23:$F$23,$B43:$F43)/SUMPRODUCT($B$25:$F$25,$B43:$F43)</f>
        <v/>
      </c>
      <c r="F44" s="23">
        <f>SUMPRODUCT($B$24:$F$24,$B43:$F43)/SUMPRODUCT($B$25:$F$25,$B43:$F43)</f>
        <v/>
      </c>
    </row>
    <row r="45" ht="15.75" customHeight="1" s="42">
      <c r="A45" s="7" t="n">
        <v>8</v>
      </c>
      <c r="B45" s="23">
        <f>SUMPRODUCT($B$20:$F$20,$B44:$F44)/SUMPRODUCT($B$25:$F$25,$B44:$F44)</f>
        <v/>
      </c>
      <c r="C45" s="23">
        <f>SUMPRODUCT($B$21:$F$21,$B44:$F44)/SUMPRODUCT($B$25:$F$25,$B44:$F44)</f>
        <v/>
      </c>
      <c r="D45" s="23">
        <f>SUMPRODUCT($B$22:$F$22,$B44:$F44)/SUMPRODUCT($B$25:$F$25,$B44:$F44)</f>
        <v/>
      </c>
      <c r="E45" s="23">
        <f>SUMPRODUCT($B$23:$F$23,$B44:$F44)/SUMPRODUCT($B$25:$F$25,$B44:$F44)</f>
        <v/>
      </c>
      <c r="F45" s="23">
        <f>SUMPRODUCT($B$24:$F$24,$B44:$F44)/SUMPRODUCT($B$25:$F$25,$B44:$F44)</f>
        <v/>
      </c>
    </row>
    <row r="46" ht="15.75" customHeight="1" s="42">
      <c r="A46" s="7" t="n">
        <v>9</v>
      </c>
      <c r="B46" s="23">
        <f>SUMPRODUCT($B$20:$F$20,$B45:$F45)/SUMPRODUCT($B$25:$F$25,$B45:$F45)</f>
        <v/>
      </c>
      <c r="C46" s="23">
        <f>SUMPRODUCT($B$21:$F$21,$B45:$F45)/SUMPRODUCT($B$25:$F$25,$B45:$F45)</f>
        <v/>
      </c>
      <c r="D46" s="23">
        <f>SUMPRODUCT($B$22:$F$22,$B45:$F45)/SUMPRODUCT($B$25:$F$25,$B45:$F45)</f>
        <v/>
      </c>
      <c r="E46" s="23">
        <f>SUMPRODUCT($B$23:$F$23,$B45:$F45)/SUMPRODUCT($B$25:$F$25,$B45:$F45)</f>
        <v/>
      </c>
      <c r="F46" s="23">
        <f>SUMPRODUCT($B$24:$F$24,$B45:$F45)/SUMPRODUCT($B$25:$F$25,$B45:$F45)</f>
        <v/>
      </c>
    </row>
    <row r="47" ht="15.75" customHeight="1" s="42">
      <c r="A47" s="7" t="n">
        <v>10</v>
      </c>
      <c r="B47" s="23">
        <f>SUMPRODUCT($B$20:$F$20,$B46:$F46)/SUMPRODUCT($B$25:$F$25,$B46:$F46)</f>
        <v/>
      </c>
      <c r="C47" s="23">
        <f>SUMPRODUCT($B$21:$F$21,$B46:$F46)/SUMPRODUCT($B$25:$F$25,$B46:$F46)</f>
        <v/>
      </c>
      <c r="D47" s="23">
        <f>SUMPRODUCT($B$22:$F$22,$B46:$F46)/SUMPRODUCT($B$25:$F$25,$B46:$F46)</f>
        <v/>
      </c>
      <c r="E47" s="23">
        <f>SUMPRODUCT($B$23:$F$23,$B46:$F46)/SUMPRODUCT($B$25:$F$25,$B46:$F46)</f>
        <v/>
      </c>
      <c r="F47" s="23">
        <f>SUMPRODUCT($B$24:$F$24,$B46:$F46)/SUMPRODUCT($B$25:$F$25,$B46:$F46)</f>
        <v/>
      </c>
    </row>
    <row r="48" ht="15.75" customHeight="1" s="42">
      <c r="A48" s="7" t="n">
        <v>11</v>
      </c>
      <c r="B48" s="23">
        <f>SUMPRODUCT($B$20:$F$20,$B47:$F47)/SUMPRODUCT($B$25:$F$25,$B47:$F47)</f>
        <v/>
      </c>
      <c r="C48" s="23">
        <f>SUMPRODUCT($B$21:$F$21,$B47:$F47)/SUMPRODUCT($B$25:$F$25,$B47:$F47)</f>
        <v/>
      </c>
      <c r="D48" s="23">
        <f>SUMPRODUCT($B$22:$F$22,$B47:$F47)/SUMPRODUCT($B$25:$F$25,$B47:$F47)</f>
        <v/>
      </c>
      <c r="E48" s="23">
        <f>SUMPRODUCT($B$23:$F$23,$B47:$F47)/SUMPRODUCT($B$25:$F$25,$B47:$F47)</f>
        <v/>
      </c>
      <c r="F48" s="23">
        <f>SUMPRODUCT($B$24:$F$24,$B47:$F47)/SUMPRODUCT($B$25:$F$25,$B47:$F47)</f>
        <v/>
      </c>
    </row>
    <row r="49" ht="15.75" customHeight="1" s="42">
      <c r="A49" s="7" t="n">
        <v>12</v>
      </c>
      <c r="B49" s="23">
        <f>SUMPRODUCT($B$20:$F$20,$B48:$F48)/SUMPRODUCT($B$25:$F$25,$B48:$F48)</f>
        <v/>
      </c>
      <c r="C49" s="23">
        <f>SUMPRODUCT($B$21:$F$21,$B48:$F48)/SUMPRODUCT($B$25:$F$25,$B48:$F48)</f>
        <v/>
      </c>
      <c r="D49" s="23">
        <f>SUMPRODUCT($B$22:$F$22,$B48:$F48)/SUMPRODUCT($B$25:$F$25,$B48:$F48)</f>
        <v/>
      </c>
      <c r="E49" s="23">
        <f>SUMPRODUCT($B$23:$F$23,$B48:$F48)/SUMPRODUCT($B$25:$F$25,$B48:$F48)</f>
        <v/>
      </c>
      <c r="F49" s="23">
        <f>SUMPRODUCT($B$24:$F$24,$B48:$F48)/SUMPRODUCT($B$25:$F$25,$B48:$F48)</f>
        <v/>
      </c>
    </row>
    <row r="50" ht="15.75" customHeight="1" s="42">
      <c r="A50" s="7" t="n">
        <v>13</v>
      </c>
      <c r="B50" s="23">
        <f>SUMPRODUCT($B$20:$F$20,$B49:$F49)/SUMPRODUCT($B$25:$F$25,$B49:$F49)</f>
        <v/>
      </c>
      <c r="C50" s="23">
        <f>SUMPRODUCT($B$21:$F$21,$B49:$F49)/SUMPRODUCT($B$25:$F$25,$B49:$F49)</f>
        <v/>
      </c>
      <c r="D50" s="23">
        <f>SUMPRODUCT($B$22:$F$22,$B49:$F49)/SUMPRODUCT($B$25:$F$25,$B49:$F49)</f>
        <v/>
      </c>
      <c r="E50" s="23">
        <f>SUMPRODUCT($B$23:$F$23,$B49:$F49)/SUMPRODUCT($B$25:$F$25,$B49:$F49)</f>
        <v/>
      </c>
      <c r="F50" s="23">
        <f>SUMPRODUCT($B$24:$F$24,$B49:$F49)/SUMPRODUCT($B$25:$F$25,$B49:$F49)</f>
        <v/>
      </c>
    </row>
    <row r="51" ht="15.75" customHeight="1" s="42">
      <c r="A51" s="7" t="n">
        <v>14</v>
      </c>
      <c r="B51" s="23">
        <f>SUMPRODUCT($B$20:$F$20,$B50:$F50)/SUMPRODUCT($B$25:$F$25,$B50:$F50)</f>
        <v/>
      </c>
      <c r="C51" s="23">
        <f>SUMPRODUCT($B$21:$F$21,$B50:$F50)/SUMPRODUCT($B$25:$F$25,$B50:$F50)</f>
        <v/>
      </c>
      <c r="D51" s="23">
        <f>SUMPRODUCT($B$22:$F$22,$B50:$F50)/SUMPRODUCT($B$25:$F$25,$B50:$F50)</f>
        <v/>
      </c>
      <c r="E51" s="23">
        <f>SUMPRODUCT($B$23:$F$23,$B50:$F50)/SUMPRODUCT($B$25:$F$25,$B50:$F50)</f>
        <v/>
      </c>
      <c r="F51" s="23">
        <f>SUMPRODUCT($B$24:$F$24,$B50:$F50)/SUMPRODUCT($B$25:$F$25,$B50:$F50)</f>
        <v/>
      </c>
    </row>
    <row r="52" ht="15.75" customHeight="1" s="42">
      <c r="A52" s="7" t="n">
        <v>15</v>
      </c>
      <c r="B52" s="23">
        <f>SUMPRODUCT($B$20:$F$20,$B51:$F51)/SUMPRODUCT($B$25:$F$25,$B51:$F51)</f>
        <v/>
      </c>
      <c r="C52" s="23">
        <f>SUMPRODUCT($B$21:$F$21,$B51:$F51)/SUMPRODUCT($B$25:$F$25,$B51:$F51)</f>
        <v/>
      </c>
      <c r="D52" s="23">
        <f>SUMPRODUCT($B$22:$F$22,$B51:$F51)/SUMPRODUCT($B$25:$F$25,$B51:$F51)</f>
        <v/>
      </c>
      <c r="E52" s="23">
        <f>SUMPRODUCT($B$23:$F$23,$B51:$F51)/SUMPRODUCT($B$25:$F$25,$B51:$F51)</f>
        <v/>
      </c>
      <c r="F52" s="23">
        <f>SUMPRODUCT($B$24:$F$24,$B51:$F51)/SUMPRODUCT($B$25:$F$25,$B51:$F51)</f>
        <v/>
      </c>
    </row>
    <row r="53" ht="15.75" customHeight="1" s="42">
      <c r="A53" s="7" t="n">
        <v>16</v>
      </c>
      <c r="B53" s="23">
        <f>SUMPRODUCT($B$20:$F$20,$B52:$F52)/SUMPRODUCT($B$25:$F$25,$B52:$F52)</f>
        <v/>
      </c>
      <c r="C53" s="23">
        <f>SUMPRODUCT($B$21:$F$21,$B52:$F52)/SUMPRODUCT($B$25:$F$25,$B52:$F52)</f>
        <v/>
      </c>
      <c r="D53" s="23">
        <f>SUMPRODUCT($B$22:$F$22,$B52:$F52)/SUMPRODUCT($B$25:$F$25,$B52:$F52)</f>
        <v/>
      </c>
      <c r="E53" s="23">
        <f>SUMPRODUCT($B$23:$F$23,$B52:$F52)/SUMPRODUCT($B$25:$F$25,$B52:$F52)</f>
        <v/>
      </c>
      <c r="F53" s="23">
        <f>SUMPRODUCT($B$24:$F$24,$B52:$F52)/SUMPRODUCT($B$25:$F$25,$B52:$F52)</f>
        <v/>
      </c>
    </row>
    <row r="54" ht="15.75" customHeight="1" s="42">
      <c r="A54" s="7" t="n">
        <v>17</v>
      </c>
      <c r="B54" s="23">
        <f>SUMPRODUCT($B$20:$F$20,$B53:$F53)/SUMPRODUCT($B$25:$F$25,$B53:$F53)</f>
        <v/>
      </c>
      <c r="C54" s="23">
        <f>SUMPRODUCT($B$21:$F$21,$B53:$F53)/SUMPRODUCT($B$25:$F$25,$B53:$F53)</f>
        <v/>
      </c>
      <c r="D54" s="23">
        <f>SUMPRODUCT($B$22:$F$22,$B53:$F53)/SUMPRODUCT($B$25:$F$25,$B53:$F53)</f>
        <v/>
      </c>
      <c r="E54" s="23">
        <f>SUMPRODUCT($B$23:$F$23,$B53:$F53)/SUMPRODUCT($B$25:$F$25,$B53:$F53)</f>
        <v/>
      </c>
      <c r="F54" s="23">
        <f>SUMPRODUCT($B$24:$F$24,$B53:$F53)/SUMPRODUCT($B$25:$F$25,$B53:$F53)</f>
        <v/>
      </c>
    </row>
    <row r="55" ht="15.75" customHeight="1" s="42">
      <c r="A55" s="7" t="n">
        <v>18</v>
      </c>
      <c r="B55" s="23">
        <f>SUMPRODUCT($B$20:$F$20,$B54:$F54)/SUMPRODUCT($B$25:$F$25,$B54:$F54)</f>
        <v/>
      </c>
      <c r="C55" s="23">
        <f>SUMPRODUCT($B$21:$F$21,$B54:$F54)/SUMPRODUCT($B$25:$F$25,$B54:$F54)</f>
        <v/>
      </c>
      <c r="D55" s="23">
        <f>SUMPRODUCT($B$22:$F$22,$B54:$F54)/SUMPRODUCT($B$25:$F$25,$B54:$F54)</f>
        <v/>
      </c>
      <c r="E55" s="23">
        <f>SUMPRODUCT($B$23:$F$23,$B54:$F54)/SUMPRODUCT($B$25:$F$25,$B54:$F54)</f>
        <v/>
      </c>
      <c r="F55" s="23">
        <f>SUMPRODUCT($B$24:$F$24,$B54:$F54)/SUMPRODUCT($B$25:$F$25,$B54:$F54)</f>
        <v/>
      </c>
    </row>
    <row r="56" ht="15.75" customHeight="1" s="42">
      <c r="A56" s="7" t="n">
        <v>19</v>
      </c>
      <c r="B56" s="23">
        <f>SUMPRODUCT($B$20:$F$20,$B55:$F55)/SUMPRODUCT($B$25:$F$25,$B55:$F55)</f>
        <v/>
      </c>
      <c r="C56" s="23">
        <f>SUMPRODUCT($B$21:$F$21,$B55:$F55)/SUMPRODUCT($B$25:$F$25,$B55:$F55)</f>
        <v/>
      </c>
      <c r="D56" s="23">
        <f>SUMPRODUCT($B$22:$F$22,$B55:$F55)/SUMPRODUCT($B$25:$F$25,$B55:$F55)</f>
        <v/>
      </c>
      <c r="E56" s="23">
        <f>SUMPRODUCT($B$23:$F$23,$B55:$F55)/SUMPRODUCT($B$25:$F$25,$B55:$F55)</f>
        <v/>
      </c>
      <c r="F56" s="23">
        <f>SUMPRODUCT($B$24:$F$24,$B55:$F55)/SUMPRODUCT($B$25:$F$25,$B55:$F55)</f>
        <v/>
      </c>
    </row>
    <row r="57" ht="15.75" customHeight="1" s="42">
      <c r="A57" s="7" t="n">
        <v>20</v>
      </c>
      <c r="B57" s="23">
        <f>SUMPRODUCT($B$20:$F$20,$B56:$F56)/SUMPRODUCT($B$25:$F$25,$B56:$F56)</f>
        <v/>
      </c>
      <c r="C57" s="23">
        <f>SUMPRODUCT($B$21:$F$21,$B56:$F56)/SUMPRODUCT($B$25:$F$25,$B56:$F56)</f>
        <v/>
      </c>
      <c r="D57" s="23">
        <f>SUMPRODUCT($B$22:$F$22,$B56:$F56)/SUMPRODUCT($B$25:$F$25,$B56:$F56)</f>
        <v/>
      </c>
      <c r="E57" s="23">
        <f>SUMPRODUCT($B$23:$F$23,$B56:$F56)/SUMPRODUCT($B$25:$F$25,$B56:$F56)</f>
        <v/>
      </c>
      <c r="F57" s="23">
        <f>SUMPRODUCT($B$24:$F$24,$B56:$F56)/SUMPRODUCT($B$25:$F$25,$B56:$F56)</f>
        <v/>
      </c>
    </row>
    <row r="58" ht="15.75" customHeight="1" s="42">
      <c r="A58" s="7" t="n">
        <v>21</v>
      </c>
      <c r="B58" s="23">
        <f>SUMPRODUCT($B$20:$F$20,$B57:$F57)/SUMPRODUCT($B$25:$F$25,$B57:$F57)</f>
        <v/>
      </c>
      <c r="C58" s="23">
        <f>SUMPRODUCT($B$21:$F$21,$B57:$F57)/SUMPRODUCT($B$25:$F$25,$B57:$F57)</f>
        <v/>
      </c>
      <c r="D58" s="23">
        <f>SUMPRODUCT($B$22:$F$22,$B57:$F57)/SUMPRODUCT($B$25:$F$25,$B57:$F57)</f>
        <v/>
      </c>
      <c r="E58" s="23">
        <f>SUMPRODUCT($B$23:$F$23,$B57:$F57)/SUMPRODUCT($B$25:$F$25,$B57:$F57)</f>
        <v/>
      </c>
      <c r="F58" s="23">
        <f>SUMPRODUCT($B$24:$F$24,$B57:$F57)/SUMPRODUCT($B$25:$F$25,$B57:$F57)</f>
        <v/>
      </c>
    </row>
    <row r="59" ht="15.75" customHeight="1" s="42">
      <c r="A59" s="7" t="n">
        <v>22</v>
      </c>
      <c r="B59" s="23">
        <f>SUMPRODUCT($B$20:$F$20,$B58:$F58)/SUMPRODUCT($B$25:$F$25,$B58:$F58)</f>
        <v/>
      </c>
      <c r="C59" s="23">
        <f>SUMPRODUCT($B$21:$F$21,$B58:$F58)/SUMPRODUCT($B$25:$F$25,$B58:$F58)</f>
        <v/>
      </c>
      <c r="D59" s="23">
        <f>SUMPRODUCT($B$22:$F$22,$B58:$F58)/SUMPRODUCT($B$25:$F$25,$B58:$F58)</f>
        <v/>
      </c>
      <c r="E59" s="23">
        <f>SUMPRODUCT($B$23:$F$23,$B58:$F58)/SUMPRODUCT($B$25:$F$25,$B58:$F58)</f>
        <v/>
      </c>
      <c r="F59" s="23">
        <f>SUMPRODUCT($B$24:$F$24,$B58:$F58)/SUMPRODUCT($B$25:$F$25,$B58:$F58)</f>
        <v/>
      </c>
    </row>
    <row r="60" ht="15.75" customHeight="1" s="42">
      <c r="A60" s="7" t="n">
        <v>23</v>
      </c>
      <c r="B60" s="23">
        <f>SUMPRODUCT($B$20:$F$20,$B59:$F59)/SUMPRODUCT($B$25:$F$25,$B59:$F59)</f>
        <v/>
      </c>
      <c r="C60" s="23">
        <f>SUMPRODUCT($B$21:$F$21,$B59:$F59)/SUMPRODUCT($B$25:$F$25,$B59:$F59)</f>
        <v/>
      </c>
      <c r="D60" s="23">
        <f>SUMPRODUCT($B$22:$F$22,$B59:$F59)/SUMPRODUCT($B$25:$F$25,$B59:$F59)</f>
        <v/>
      </c>
      <c r="E60" s="23">
        <f>SUMPRODUCT($B$23:$F$23,$B59:$F59)/SUMPRODUCT($B$25:$F$25,$B59:$F59)</f>
        <v/>
      </c>
      <c r="F60" s="23">
        <f>SUMPRODUCT($B$24:$F$24,$B59:$F59)/SUMPRODUCT($B$25:$F$25,$B59:$F59)</f>
        <v/>
      </c>
    </row>
    <row r="61" ht="15.75" customHeight="1" s="42">
      <c r="A61" s="7" t="n">
        <v>24</v>
      </c>
      <c r="B61" s="23">
        <f>SUMPRODUCT($B$20:$F$20,$B60:$F60)/SUMPRODUCT($B$25:$F$25,$B60:$F60)</f>
        <v/>
      </c>
      <c r="C61" s="23">
        <f>SUMPRODUCT($B$21:$F$21,$B60:$F60)/SUMPRODUCT($B$25:$F$25,$B60:$F60)</f>
        <v/>
      </c>
      <c r="D61" s="23">
        <f>SUMPRODUCT($B$22:$F$22,$B60:$F60)/SUMPRODUCT($B$25:$F$25,$B60:$F60)</f>
        <v/>
      </c>
      <c r="E61" s="23">
        <f>SUMPRODUCT($B$23:$F$23,$B60:$F60)/SUMPRODUCT($B$25:$F$25,$B60:$F60)</f>
        <v/>
      </c>
      <c r="F61" s="23">
        <f>SUMPRODUCT($B$24:$F$24,$B60:$F60)/SUMPRODUCT($B$25:$F$25,$B60:$F60)</f>
        <v/>
      </c>
    </row>
    <row r="62" ht="15.75" customHeight="1" s="42">
      <c r="A62" s="7" t="n">
        <v>25</v>
      </c>
      <c r="B62" s="23">
        <f>SUMPRODUCT($B$20:$F$20,$B61:$F61)/SUMPRODUCT($B$25:$F$25,$B61:$F61)</f>
        <v/>
      </c>
      <c r="C62" s="23">
        <f>SUMPRODUCT($B$21:$F$21,$B61:$F61)/SUMPRODUCT($B$25:$F$25,$B61:$F61)</f>
        <v/>
      </c>
      <c r="D62" s="23">
        <f>SUMPRODUCT($B$22:$F$22,$B61:$F61)/SUMPRODUCT($B$25:$F$25,$B61:$F61)</f>
        <v/>
      </c>
      <c r="E62" s="23">
        <f>SUMPRODUCT($B$23:$F$23,$B61:$F61)/SUMPRODUCT($B$25:$F$25,$B61:$F61)</f>
        <v/>
      </c>
      <c r="F62" s="23">
        <f>SUMPRODUCT($B$24:$F$24,$B61:$F61)/SUMPRODUCT($B$25:$F$25,$B61:$F61)</f>
        <v/>
      </c>
    </row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conditionalFormatting sqref="B32">
    <cfRule type="expression" priority="1" dxfId="0">
      <formula>LEFT($B$32,2)="OK"</formula>
    </cfRule>
    <cfRule type="expression" priority="2" dxfId="1">
      <formula>LEFT($B$32,2)&lt;&gt;"OK"</formula>
    </cfRule>
  </conditionalFormatting>
  <dataValidations count="2">
    <dataValidation sqref="E7:E16" showDropDown="0" showInputMessage="0" showErrorMessage="0" allowBlank="0" type="decimal">
      <formula1>1.0</formula1>
      <formula2>9.0</formula2>
    </dataValidation>
    <dataValidation sqref="D7:D16" showDropDown="0" showInputMessage="0" showErrorMessage="0" allowBlank="0" type="list">
      <formula1>"Izquierda,Derecha,Igual"</formula1>
    </dataValidation>
  </dataValidation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42" min="1" max="1"/>
    <col width="32" customWidth="1" style="42" min="2" max="3"/>
    <col width="14" customWidth="1" style="42" min="4" max="4"/>
    <col width="12" customWidth="1" style="42" min="5" max="6"/>
    <col width="50" customWidth="1" style="42" min="7" max="7"/>
    <col width="8.710000000000001" customWidth="1" style="42" min="8" max="26"/>
  </cols>
  <sheetData>
    <row r="1">
      <c r="A1" s="1">
        <f>"Comparación por pares de las ALTERNATIVAS respecto al criterio: "&amp;Inicio!$B$8</f>
        <v/>
      </c>
    </row>
    <row r="2">
      <c r="A2" s="35" t="inlineStr">
        <is>
          <t>Elija en 'Prefiere' cuál es más importante (Izquierda / Derecha / Igual) y en 'Valor' cuánto más (1 a 9, escala de Saaty). Edite solo las celdas amarillas.</t>
        </is>
      </c>
    </row>
    <row r="3">
      <c r="A3" s="35" t="inlineStr">
        <is>
          <t>Escala: 1 igual · 3 moderada · 5 fuerte · 7 muy fuerte · 9 extrema (2, 4, 6, 8 intermedios).</t>
        </is>
      </c>
    </row>
    <row r="5">
      <c r="A5" s="24" t="inlineStr">
        <is>
          <t>1. Juicios de comparación por pares</t>
        </is>
      </c>
    </row>
    <row r="6">
      <c r="A6" s="6" t="inlineStr">
        <is>
          <t>N°</t>
        </is>
      </c>
      <c r="B6" s="6" t="inlineStr">
        <is>
          <t>Izquierda</t>
        </is>
      </c>
      <c r="C6" s="6" t="inlineStr">
        <is>
          <t>Derecha</t>
        </is>
      </c>
      <c r="D6" s="6" t="inlineStr">
        <is>
          <t>Prefiere</t>
        </is>
      </c>
      <c r="E6" s="6" t="inlineStr">
        <is>
          <t>Valor (1-9)</t>
        </is>
      </c>
      <c r="F6" s="6" t="inlineStr">
        <is>
          <t>a(i,j)</t>
        </is>
      </c>
      <c r="G6" s="6" t="inlineStr">
        <is>
          <t>Lectura</t>
        </is>
      </c>
    </row>
    <row r="7">
      <c r="A7" s="7" t="n">
        <v>1</v>
      </c>
      <c r="B7" s="9">
        <f>Inicio!$A$16&amp;": "&amp;Inicio!$B$16</f>
        <v/>
      </c>
      <c r="C7" s="9">
        <f>Inicio!$A$17&amp;": "&amp;Inicio!$B$17</f>
        <v/>
      </c>
      <c r="D7" s="10" t="inlineStr">
        <is>
          <t>Izquierda</t>
        </is>
      </c>
      <c r="E7" s="10" t="n">
        <v>2</v>
      </c>
      <c r="F7" s="12">
        <f>IF(D7="Izquierda",E7,IF(D7="Derecha",1/E7,1))</f>
        <v/>
      </c>
      <c r="G7" s="14">
        <f>IF(D7="Igual",B7&amp;" = "&amp;C7,IF(D7="Izquierda",B7&amp;" &gt; "&amp;C7&amp;" (x"&amp;E7&amp;")",C7&amp;" &gt; "&amp;B7&amp;" (x"&amp;E7&amp;")"))</f>
        <v/>
      </c>
    </row>
    <row r="8">
      <c r="A8" s="7" t="n">
        <v>2</v>
      </c>
      <c r="B8" s="9">
        <f>Inicio!$A$16&amp;": "&amp;Inicio!$B$16</f>
        <v/>
      </c>
      <c r="C8" s="9">
        <f>Inicio!$A$18&amp;": "&amp;Inicio!$B$18</f>
        <v/>
      </c>
      <c r="D8" s="10" t="inlineStr">
        <is>
          <t>Derecha</t>
        </is>
      </c>
      <c r="E8" s="10" t="n">
        <v>3</v>
      </c>
      <c r="F8" s="12">
        <f>IF(D8="Izquierda",E8,IF(D8="Derecha",1/E8,1))</f>
        <v/>
      </c>
      <c r="G8" s="14">
        <f>IF(D8="Igual",B8&amp;" = "&amp;C8,IF(D8="Izquierda",B8&amp;" &gt; "&amp;C8&amp;" (x"&amp;E8&amp;")",C8&amp;" &gt; "&amp;B8&amp;" (x"&amp;E8&amp;")"))</f>
        <v/>
      </c>
    </row>
    <row r="9">
      <c r="A9" s="7" t="n">
        <v>3</v>
      </c>
      <c r="B9" s="9">
        <f>Inicio!$A$17&amp;": "&amp;Inicio!$B$17</f>
        <v/>
      </c>
      <c r="C9" s="9">
        <f>Inicio!$A$18&amp;": "&amp;Inicio!$B$18</f>
        <v/>
      </c>
      <c r="D9" s="10" t="inlineStr">
        <is>
          <t>Derecha</t>
        </is>
      </c>
      <c r="E9" s="10" t="n">
        <v>5</v>
      </c>
      <c r="F9" s="12">
        <f>IF(D9="Izquierda",E9,IF(D9="Derecha",1/E9,1))</f>
        <v/>
      </c>
      <c r="G9" s="14">
        <f>IF(D9="Igual",B9&amp;" = "&amp;C9,IF(D9="Izquierda",B9&amp;" &gt; "&amp;C9&amp;" (x"&amp;E9&amp;")",C9&amp;" &gt; "&amp;B9&amp;" (x"&amp;E9&amp;")"))</f>
        <v/>
      </c>
    </row>
    <row r="11">
      <c r="A11" s="24" t="inlineStr">
        <is>
          <t>2. Matriz de comparación y prioridades</t>
        </is>
      </c>
    </row>
    <row r="12">
      <c r="A12" s="6" t="n"/>
      <c r="B12" s="6">
        <f>Inicio!$A$16</f>
        <v/>
      </c>
      <c r="C12" s="6">
        <f>Inicio!$A$17</f>
        <v/>
      </c>
      <c r="D12" s="6">
        <f>Inicio!$A$18</f>
        <v/>
      </c>
      <c r="E12" s="6" t="inlineStr">
        <is>
          <t>Prioridad</t>
        </is>
      </c>
      <c r="F12" s="6" t="inlineStr">
        <is>
          <t>Posición</t>
        </is>
      </c>
    </row>
    <row r="13">
      <c r="A13" s="16">
        <f>Inicio!$A$16</f>
        <v/>
      </c>
      <c r="B13" s="12" t="n">
        <v>1</v>
      </c>
      <c r="C13" s="12">
        <f>F7</f>
        <v/>
      </c>
      <c r="D13" s="12">
        <f>F8</f>
        <v/>
      </c>
      <c r="E13" s="17">
        <f>B53</f>
        <v/>
      </c>
      <c r="F13" s="7">
        <f>RANK(E13,$E$13:$E$15)</f>
        <v/>
      </c>
    </row>
    <row r="14">
      <c r="A14" s="16">
        <f>Inicio!$A$17</f>
        <v/>
      </c>
      <c r="B14" s="12">
        <f>1/C13</f>
        <v/>
      </c>
      <c r="C14" s="12" t="n">
        <v>1</v>
      </c>
      <c r="D14" s="12">
        <f>F9</f>
        <v/>
      </c>
      <c r="E14" s="17">
        <f>C53</f>
        <v/>
      </c>
      <c r="F14" s="7">
        <f>RANK(E14,$E$13:$E$15)</f>
        <v/>
      </c>
    </row>
    <row r="15">
      <c r="A15" s="16">
        <f>Inicio!$A$18</f>
        <v/>
      </c>
      <c r="B15" s="12">
        <f>1/D13</f>
        <v/>
      </c>
      <c r="C15" s="12">
        <f>1/D14</f>
        <v/>
      </c>
      <c r="D15" s="12" t="n">
        <v>1</v>
      </c>
      <c r="E15" s="17">
        <f>D53</f>
        <v/>
      </c>
      <c r="F15" s="7">
        <f>RANK(E15,$E$13:$E$15)</f>
        <v/>
      </c>
    </row>
    <row r="16">
      <c r="A16" s="16" t="inlineStr">
        <is>
          <t>Suma columna</t>
        </is>
      </c>
      <c r="B16" s="18">
        <f>SUM(B13:B15)</f>
        <v/>
      </c>
      <c r="C16" s="18">
        <f>SUM(C13:C15)</f>
        <v/>
      </c>
      <c r="D16" s="18">
        <f>SUM(D13:D15)</f>
        <v/>
      </c>
    </row>
    <row r="18">
      <c r="A18" s="24" t="inlineStr">
        <is>
          <t>Consistencia</t>
        </is>
      </c>
    </row>
    <row r="19">
      <c r="A19" s="4" t="inlineStr">
        <is>
          <t>λ máx</t>
        </is>
      </c>
      <c r="B19" s="19">
        <f>SUMPRODUCT($B$16:$D$16,$B$53:$D$53)</f>
        <v/>
      </c>
    </row>
    <row r="20">
      <c r="A20" s="4" t="inlineStr">
        <is>
          <t>CI</t>
        </is>
      </c>
      <c r="B20" s="19">
        <f>(B19-3)/(3-1)</f>
        <v/>
      </c>
    </row>
    <row r="21" ht="15.75" customHeight="1" s="42">
      <c r="A21" s="4" t="inlineStr">
        <is>
          <t>RI</t>
        </is>
      </c>
      <c r="B21" s="20">
        <f t="array" ref="B21">INDEX(Inicio!$B$22:$B$26,3)</f>
        <v/>
      </c>
    </row>
    <row r="22" ht="15.75" customHeight="1" s="42">
      <c r="A22" s="4" t="inlineStr">
        <is>
          <t>CR</t>
        </is>
      </c>
      <c r="B22" s="21">
        <f>IF(B21=0,0,B20/B21)</f>
        <v/>
      </c>
    </row>
    <row r="23" ht="15.75" customHeight="1" s="42">
      <c r="A23" s="4" t="inlineStr">
        <is>
          <t>Estado</t>
        </is>
      </c>
      <c r="B23" s="22">
        <f>IF(B22&lt;0.1,"OK (CR &lt; 10 %)","REVISAR: CR ≥ 10 %")</f>
        <v/>
      </c>
    </row>
    <row r="24" ht="15.75" customHeight="1" s="42"/>
    <row r="25" ht="15.75" customHeight="1" s="42"/>
    <row r="26" ht="15.75" customHeight="1" s="42">
      <c r="A26" s="24" t="inlineStr">
        <is>
          <t>3. Cálculo del vector propio (método de las potencias, 25 iteraciones)</t>
        </is>
      </c>
    </row>
    <row r="27" ht="15.75" customHeight="1" s="42">
      <c r="A27" s="6" t="inlineStr">
        <is>
          <t>Iteración</t>
        </is>
      </c>
      <c r="B27" s="6">
        <f>Inicio!$A$16</f>
        <v/>
      </c>
      <c r="C27" s="6">
        <f>Inicio!$A$17</f>
        <v/>
      </c>
      <c r="D27" s="6">
        <f>Inicio!$A$18</f>
        <v/>
      </c>
    </row>
    <row r="28" ht="15.75" customHeight="1" s="42">
      <c r="A28" s="7" t="n">
        <v>0</v>
      </c>
      <c r="B28" s="23">
        <f>1/3</f>
        <v/>
      </c>
      <c r="C28" s="23">
        <f>1/3</f>
        <v/>
      </c>
      <c r="D28" s="23">
        <f>1/3</f>
        <v/>
      </c>
    </row>
    <row r="29" ht="15.75" customHeight="1" s="42">
      <c r="A29" s="7" t="n">
        <v>1</v>
      </c>
      <c r="B29" s="23">
        <f>SUMPRODUCT($B$13:$D$13,$B28:$D28)/SUMPRODUCT($B$16:$D$16,$B28:$D28)</f>
        <v/>
      </c>
      <c r="C29" s="23">
        <f>SUMPRODUCT($B$14:$D$14,$B28:$D28)/SUMPRODUCT($B$16:$D$16,$B28:$D28)</f>
        <v/>
      </c>
      <c r="D29" s="23">
        <f>SUMPRODUCT($B$15:$D$15,$B28:$D28)/SUMPRODUCT($B$16:$D$16,$B28:$D28)</f>
        <v/>
      </c>
    </row>
    <row r="30" ht="15.75" customHeight="1" s="42">
      <c r="A30" s="7" t="n">
        <v>2</v>
      </c>
      <c r="B30" s="23">
        <f>SUMPRODUCT($B$13:$D$13,$B29:$D29)/SUMPRODUCT($B$16:$D$16,$B29:$D29)</f>
        <v/>
      </c>
      <c r="C30" s="23">
        <f>SUMPRODUCT($B$14:$D$14,$B29:$D29)/SUMPRODUCT($B$16:$D$16,$B29:$D29)</f>
        <v/>
      </c>
      <c r="D30" s="23">
        <f>SUMPRODUCT($B$15:$D$15,$B29:$D29)/SUMPRODUCT($B$16:$D$16,$B29:$D29)</f>
        <v/>
      </c>
    </row>
    <row r="31" ht="15.75" customHeight="1" s="42">
      <c r="A31" s="7" t="n">
        <v>3</v>
      </c>
      <c r="B31" s="23">
        <f>SUMPRODUCT($B$13:$D$13,$B30:$D30)/SUMPRODUCT($B$16:$D$16,$B30:$D30)</f>
        <v/>
      </c>
      <c r="C31" s="23">
        <f>SUMPRODUCT($B$14:$D$14,$B30:$D30)/SUMPRODUCT($B$16:$D$16,$B30:$D30)</f>
        <v/>
      </c>
      <c r="D31" s="23">
        <f>SUMPRODUCT($B$15:$D$15,$B30:$D30)/SUMPRODUCT($B$16:$D$16,$B30:$D30)</f>
        <v/>
      </c>
    </row>
    <row r="32" ht="15.75" customHeight="1" s="42">
      <c r="A32" s="7" t="n">
        <v>4</v>
      </c>
      <c r="B32" s="23">
        <f>SUMPRODUCT($B$13:$D$13,$B31:$D31)/SUMPRODUCT($B$16:$D$16,$B31:$D31)</f>
        <v/>
      </c>
      <c r="C32" s="23">
        <f>SUMPRODUCT($B$14:$D$14,$B31:$D31)/SUMPRODUCT($B$16:$D$16,$B31:$D31)</f>
        <v/>
      </c>
      <c r="D32" s="23">
        <f>SUMPRODUCT($B$15:$D$15,$B31:$D31)/SUMPRODUCT($B$16:$D$16,$B31:$D31)</f>
        <v/>
      </c>
    </row>
    <row r="33" ht="15.75" customHeight="1" s="42">
      <c r="A33" s="7" t="n">
        <v>5</v>
      </c>
      <c r="B33" s="23">
        <f>SUMPRODUCT($B$13:$D$13,$B32:$D32)/SUMPRODUCT($B$16:$D$16,$B32:$D32)</f>
        <v/>
      </c>
      <c r="C33" s="23">
        <f>SUMPRODUCT($B$14:$D$14,$B32:$D32)/SUMPRODUCT($B$16:$D$16,$B32:$D32)</f>
        <v/>
      </c>
      <c r="D33" s="23">
        <f>SUMPRODUCT($B$15:$D$15,$B32:$D32)/SUMPRODUCT($B$16:$D$16,$B32:$D32)</f>
        <v/>
      </c>
    </row>
    <row r="34" ht="15.75" customHeight="1" s="42">
      <c r="A34" s="7" t="n">
        <v>6</v>
      </c>
      <c r="B34" s="23">
        <f>SUMPRODUCT($B$13:$D$13,$B33:$D33)/SUMPRODUCT($B$16:$D$16,$B33:$D33)</f>
        <v/>
      </c>
      <c r="C34" s="23">
        <f>SUMPRODUCT($B$14:$D$14,$B33:$D33)/SUMPRODUCT($B$16:$D$16,$B33:$D33)</f>
        <v/>
      </c>
      <c r="D34" s="23">
        <f>SUMPRODUCT($B$15:$D$15,$B33:$D33)/SUMPRODUCT($B$16:$D$16,$B33:$D33)</f>
        <v/>
      </c>
    </row>
    <row r="35" ht="15.75" customHeight="1" s="42">
      <c r="A35" s="7" t="n">
        <v>7</v>
      </c>
      <c r="B35" s="23">
        <f>SUMPRODUCT($B$13:$D$13,$B34:$D34)/SUMPRODUCT($B$16:$D$16,$B34:$D34)</f>
        <v/>
      </c>
      <c r="C35" s="23">
        <f>SUMPRODUCT($B$14:$D$14,$B34:$D34)/SUMPRODUCT($B$16:$D$16,$B34:$D34)</f>
        <v/>
      </c>
      <c r="D35" s="23">
        <f>SUMPRODUCT($B$15:$D$15,$B34:$D34)/SUMPRODUCT($B$16:$D$16,$B34:$D34)</f>
        <v/>
      </c>
    </row>
    <row r="36" ht="15.75" customHeight="1" s="42">
      <c r="A36" s="7" t="n">
        <v>8</v>
      </c>
      <c r="B36" s="23">
        <f>SUMPRODUCT($B$13:$D$13,$B35:$D35)/SUMPRODUCT($B$16:$D$16,$B35:$D35)</f>
        <v/>
      </c>
      <c r="C36" s="23">
        <f>SUMPRODUCT($B$14:$D$14,$B35:$D35)/SUMPRODUCT($B$16:$D$16,$B35:$D35)</f>
        <v/>
      </c>
      <c r="D36" s="23">
        <f>SUMPRODUCT($B$15:$D$15,$B35:$D35)/SUMPRODUCT($B$16:$D$16,$B35:$D35)</f>
        <v/>
      </c>
    </row>
    <row r="37" ht="15.75" customHeight="1" s="42">
      <c r="A37" s="7" t="n">
        <v>9</v>
      </c>
      <c r="B37" s="23">
        <f>SUMPRODUCT($B$13:$D$13,$B36:$D36)/SUMPRODUCT($B$16:$D$16,$B36:$D36)</f>
        <v/>
      </c>
      <c r="C37" s="23">
        <f>SUMPRODUCT($B$14:$D$14,$B36:$D36)/SUMPRODUCT($B$16:$D$16,$B36:$D36)</f>
        <v/>
      </c>
      <c r="D37" s="23">
        <f>SUMPRODUCT($B$15:$D$15,$B36:$D36)/SUMPRODUCT($B$16:$D$16,$B36:$D36)</f>
        <v/>
      </c>
    </row>
    <row r="38" ht="15.75" customHeight="1" s="42">
      <c r="A38" s="7" t="n">
        <v>10</v>
      </c>
      <c r="B38" s="23">
        <f>SUMPRODUCT($B$13:$D$13,$B37:$D37)/SUMPRODUCT($B$16:$D$16,$B37:$D37)</f>
        <v/>
      </c>
      <c r="C38" s="23">
        <f>SUMPRODUCT($B$14:$D$14,$B37:$D37)/SUMPRODUCT($B$16:$D$16,$B37:$D37)</f>
        <v/>
      </c>
      <c r="D38" s="23">
        <f>SUMPRODUCT($B$15:$D$15,$B37:$D37)/SUMPRODUCT($B$16:$D$16,$B37:$D37)</f>
        <v/>
      </c>
    </row>
    <row r="39" ht="15.75" customHeight="1" s="42">
      <c r="A39" s="7" t="n">
        <v>11</v>
      </c>
      <c r="B39" s="23">
        <f>SUMPRODUCT($B$13:$D$13,$B38:$D38)/SUMPRODUCT($B$16:$D$16,$B38:$D38)</f>
        <v/>
      </c>
      <c r="C39" s="23">
        <f>SUMPRODUCT($B$14:$D$14,$B38:$D38)/SUMPRODUCT($B$16:$D$16,$B38:$D38)</f>
        <v/>
      </c>
      <c r="D39" s="23">
        <f>SUMPRODUCT($B$15:$D$15,$B38:$D38)/SUMPRODUCT($B$16:$D$16,$B38:$D38)</f>
        <v/>
      </c>
    </row>
    <row r="40" ht="15.75" customHeight="1" s="42">
      <c r="A40" s="7" t="n">
        <v>12</v>
      </c>
      <c r="B40" s="23">
        <f>SUMPRODUCT($B$13:$D$13,$B39:$D39)/SUMPRODUCT($B$16:$D$16,$B39:$D39)</f>
        <v/>
      </c>
      <c r="C40" s="23">
        <f>SUMPRODUCT($B$14:$D$14,$B39:$D39)/SUMPRODUCT($B$16:$D$16,$B39:$D39)</f>
        <v/>
      </c>
      <c r="D40" s="23">
        <f>SUMPRODUCT($B$15:$D$15,$B39:$D39)/SUMPRODUCT($B$16:$D$16,$B39:$D39)</f>
        <v/>
      </c>
    </row>
    <row r="41" ht="15.75" customHeight="1" s="42">
      <c r="A41" s="7" t="n">
        <v>13</v>
      </c>
      <c r="B41" s="23">
        <f>SUMPRODUCT($B$13:$D$13,$B40:$D40)/SUMPRODUCT($B$16:$D$16,$B40:$D40)</f>
        <v/>
      </c>
      <c r="C41" s="23">
        <f>SUMPRODUCT($B$14:$D$14,$B40:$D40)/SUMPRODUCT($B$16:$D$16,$B40:$D40)</f>
        <v/>
      </c>
      <c r="D41" s="23">
        <f>SUMPRODUCT($B$15:$D$15,$B40:$D40)/SUMPRODUCT($B$16:$D$16,$B40:$D40)</f>
        <v/>
      </c>
    </row>
    <row r="42" ht="15.75" customHeight="1" s="42">
      <c r="A42" s="7" t="n">
        <v>14</v>
      </c>
      <c r="B42" s="23">
        <f>SUMPRODUCT($B$13:$D$13,$B41:$D41)/SUMPRODUCT($B$16:$D$16,$B41:$D41)</f>
        <v/>
      </c>
      <c r="C42" s="23">
        <f>SUMPRODUCT($B$14:$D$14,$B41:$D41)/SUMPRODUCT($B$16:$D$16,$B41:$D41)</f>
        <v/>
      </c>
      <c r="D42" s="23">
        <f>SUMPRODUCT($B$15:$D$15,$B41:$D41)/SUMPRODUCT($B$16:$D$16,$B41:$D41)</f>
        <v/>
      </c>
    </row>
    <row r="43" ht="15.75" customHeight="1" s="42">
      <c r="A43" s="7" t="n">
        <v>15</v>
      </c>
      <c r="B43" s="23">
        <f>SUMPRODUCT($B$13:$D$13,$B42:$D42)/SUMPRODUCT($B$16:$D$16,$B42:$D42)</f>
        <v/>
      </c>
      <c r="C43" s="23">
        <f>SUMPRODUCT($B$14:$D$14,$B42:$D42)/SUMPRODUCT($B$16:$D$16,$B42:$D42)</f>
        <v/>
      </c>
      <c r="D43" s="23">
        <f>SUMPRODUCT($B$15:$D$15,$B42:$D42)/SUMPRODUCT($B$16:$D$16,$B42:$D42)</f>
        <v/>
      </c>
    </row>
    <row r="44" ht="15.75" customHeight="1" s="42">
      <c r="A44" s="7" t="n">
        <v>16</v>
      </c>
      <c r="B44" s="23">
        <f>SUMPRODUCT($B$13:$D$13,$B43:$D43)/SUMPRODUCT($B$16:$D$16,$B43:$D43)</f>
        <v/>
      </c>
      <c r="C44" s="23">
        <f>SUMPRODUCT($B$14:$D$14,$B43:$D43)/SUMPRODUCT($B$16:$D$16,$B43:$D43)</f>
        <v/>
      </c>
      <c r="D44" s="23">
        <f>SUMPRODUCT($B$15:$D$15,$B43:$D43)/SUMPRODUCT($B$16:$D$16,$B43:$D43)</f>
        <v/>
      </c>
    </row>
    <row r="45" ht="15.75" customHeight="1" s="42">
      <c r="A45" s="7" t="n">
        <v>17</v>
      </c>
      <c r="B45" s="23">
        <f>SUMPRODUCT($B$13:$D$13,$B44:$D44)/SUMPRODUCT($B$16:$D$16,$B44:$D44)</f>
        <v/>
      </c>
      <c r="C45" s="23">
        <f>SUMPRODUCT($B$14:$D$14,$B44:$D44)/SUMPRODUCT($B$16:$D$16,$B44:$D44)</f>
        <v/>
      </c>
      <c r="D45" s="23">
        <f>SUMPRODUCT($B$15:$D$15,$B44:$D44)/SUMPRODUCT($B$16:$D$16,$B44:$D44)</f>
        <v/>
      </c>
    </row>
    <row r="46" ht="15.75" customHeight="1" s="42">
      <c r="A46" s="7" t="n">
        <v>18</v>
      </c>
      <c r="B46" s="23">
        <f>SUMPRODUCT($B$13:$D$13,$B45:$D45)/SUMPRODUCT($B$16:$D$16,$B45:$D45)</f>
        <v/>
      </c>
      <c r="C46" s="23">
        <f>SUMPRODUCT($B$14:$D$14,$B45:$D45)/SUMPRODUCT($B$16:$D$16,$B45:$D45)</f>
        <v/>
      </c>
      <c r="D46" s="23">
        <f>SUMPRODUCT($B$15:$D$15,$B45:$D45)/SUMPRODUCT($B$16:$D$16,$B45:$D45)</f>
        <v/>
      </c>
    </row>
    <row r="47" ht="15.75" customHeight="1" s="42">
      <c r="A47" s="7" t="n">
        <v>19</v>
      </c>
      <c r="B47" s="23">
        <f>SUMPRODUCT($B$13:$D$13,$B46:$D46)/SUMPRODUCT($B$16:$D$16,$B46:$D46)</f>
        <v/>
      </c>
      <c r="C47" s="23">
        <f>SUMPRODUCT($B$14:$D$14,$B46:$D46)/SUMPRODUCT($B$16:$D$16,$B46:$D46)</f>
        <v/>
      </c>
      <c r="D47" s="23">
        <f>SUMPRODUCT($B$15:$D$15,$B46:$D46)/SUMPRODUCT($B$16:$D$16,$B46:$D46)</f>
        <v/>
      </c>
    </row>
    <row r="48" ht="15.75" customHeight="1" s="42">
      <c r="A48" s="7" t="n">
        <v>20</v>
      </c>
      <c r="B48" s="23">
        <f>SUMPRODUCT($B$13:$D$13,$B47:$D47)/SUMPRODUCT($B$16:$D$16,$B47:$D47)</f>
        <v/>
      </c>
      <c r="C48" s="23">
        <f>SUMPRODUCT($B$14:$D$14,$B47:$D47)/SUMPRODUCT($B$16:$D$16,$B47:$D47)</f>
        <v/>
      </c>
      <c r="D48" s="23">
        <f>SUMPRODUCT($B$15:$D$15,$B47:$D47)/SUMPRODUCT($B$16:$D$16,$B47:$D47)</f>
        <v/>
      </c>
    </row>
    <row r="49" ht="15.75" customHeight="1" s="42">
      <c r="A49" s="7" t="n">
        <v>21</v>
      </c>
      <c r="B49" s="23">
        <f>SUMPRODUCT($B$13:$D$13,$B48:$D48)/SUMPRODUCT($B$16:$D$16,$B48:$D48)</f>
        <v/>
      </c>
      <c r="C49" s="23">
        <f>SUMPRODUCT($B$14:$D$14,$B48:$D48)/SUMPRODUCT($B$16:$D$16,$B48:$D48)</f>
        <v/>
      </c>
      <c r="D49" s="23">
        <f>SUMPRODUCT($B$15:$D$15,$B48:$D48)/SUMPRODUCT($B$16:$D$16,$B48:$D48)</f>
        <v/>
      </c>
    </row>
    <row r="50" ht="15.75" customHeight="1" s="42">
      <c r="A50" s="7" t="n">
        <v>22</v>
      </c>
      <c r="B50" s="23">
        <f>SUMPRODUCT($B$13:$D$13,$B49:$D49)/SUMPRODUCT($B$16:$D$16,$B49:$D49)</f>
        <v/>
      </c>
      <c r="C50" s="23">
        <f>SUMPRODUCT($B$14:$D$14,$B49:$D49)/SUMPRODUCT($B$16:$D$16,$B49:$D49)</f>
        <v/>
      </c>
      <c r="D50" s="23">
        <f>SUMPRODUCT($B$15:$D$15,$B49:$D49)/SUMPRODUCT($B$16:$D$16,$B49:$D49)</f>
        <v/>
      </c>
    </row>
    <row r="51" ht="15.75" customHeight="1" s="42">
      <c r="A51" s="7" t="n">
        <v>23</v>
      </c>
      <c r="B51" s="23">
        <f>SUMPRODUCT($B$13:$D$13,$B50:$D50)/SUMPRODUCT($B$16:$D$16,$B50:$D50)</f>
        <v/>
      </c>
      <c r="C51" s="23">
        <f>SUMPRODUCT($B$14:$D$14,$B50:$D50)/SUMPRODUCT($B$16:$D$16,$B50:$D50)</f>
        <v/>
      </c>
      <c r="D51" s="23">
        <f>SUMPRODUCT($B$15:$D$15,$B50:$D50)/SUMPRODUCT($B$16:$D$16,$B50:$D50)</f>
        <v/>
      </c>
    </row>
    <row r="52" ht="15.75" customHeight="1" s="42">
      <c r="A52" s="7" t="n">
        <v>24</v>
      </c>
      <c r="B52" s="23">
        <f>SUMPRODUCT($B$13:$D$13,$B51:$D51)/SUMPRODUCT($B$16:$D$16,$B51:$D51)</f>
        <v/>
      </c>
      <c r="C52" s="23">
        <f>SUMPRODUCT($B$14:$D$14,$B51:$D51)/SUMPRODUCT($B$16:$D$16,$B51:$D51)</f>
        <v/>
      </c>
      <c r="D52" s="23">
        <f>SUMPRODUCT($B$15:$D$15,$B51:$D51)/SUMPRODUCT($B$16:$D$16,$B51:$D51)</f>
        <v/>
      </c>
    </row>
    <row r="53" ht="15.75" customHeight="1" s="42">
      <c r="A53" s="7" t="n">
        <v>25</v>
      </c>
      <c r="B53" s="23">
        <f>SUMPRODUCT($B$13:$D$13,$B52:$D52)/SUMPRODUCT($B$16:$D$16,$B52:$D52)</f>
        <v/>
      </c>
      <c r="C53" s="23">
        <f>SUMPRODUCT($B$14:$D$14,$B52:$D52)/SUMPRODUCT($B$16:$D$16,$B52:$D52)</f>
        <v/>
      </c>
      <c r="D53" s="23">
        <f>SUMPRODUCT($B$15:$D$15,$B52:$D52)/SUMPRODUCT($B$16:$D$16,$B52:$D52)</f>
        <v/>
      </c>
    </row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conditionalFormatting sqref="B23">
    <cfRule type="expression" priority="1" dxfId="0">
      <formula>LEFT($B$23,2)="OK"</formula>
    </cfRule>
    <cfRule type="expression" priority="2" dxfId="1">
      <formula>LEFT($B$23,2)&lt;&gt;"OK"</formula>
    </cfRule>
  </conditionalFormatting>
  <dataValidations count="2">
    <dataValidation sqref="E7:E9" showDropDown="0" showInputMessage="0" showErrorMessage="0" allowBlank="0" type="decimal">
      <formula1>1.0</formula1>
      <formula2>9.0</formula2>
    </dataValidation>
    <dataValidation sqref="D7:D9" showDropDown="0" showInputMessage="0" showErrorMessage="0" allowBlank="0" type="list">
      <formula1>"Izquierda,Derecha,Igual"</formula1>
    </dataValidation>
  </dataValidation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42" min="1" max="1"/>
    <col width="32" customWidth="1" style="42" min="2" max="3"/>
    <col width="14" customWidth="1" style="42" min="4" max="4"/>
    <col width="12" customWidth="1" style="42" min="5" max="6"/>
    <col width="50" customWidth="1" style="42" min="7" max="7"/>
    <col width="8.710000000000001" customWidth="1" style="42" min="8" max="26"/>
  </cols>
  <sheetData>
    <row r="1">
      <c r="A1" s="1">
        <f>"Comparación por pares de las ALTERNATIVAS respecto al criterio: "&amp;Inicio!$B$9</f>
        <v/>
      </c>
    </row>
    <row r="2">
      <c r="A2" s="35" t="inlineStr">
        <is>
          <t>Elija en 'Prefiere' cuál es más importante (Izquierda / Derecha / Igual) y en 'Valor' cuánto más (1 a 9, escala de Saaty). Edite solo las celdas amarillas.</t>
        </is>
      </c>
    </row>
    <row r="3">
      <c r="A3" s="35" t="inlineStr">
        <is>
          <t>Escala: 1 igual · 3 moderada · 5 fuerte · 7 muy fuerte · 9 extrema (2, 4, 6, 8 intermedios).</t>
        </is>
      </c>
    </row>
    <row r="5">
      <c r="A5" s="24" t="inlineStr">
        <is>
          <t>1. Juicios de comparación por pares</t>
        </is>
      </c>
    </row>
    <row r="6">
      <c r="A6" s="6" t="inlineStr">
        <is>
          <t>N°</t>
        </is>
      </c>
      <c r="B6" s="6" t="inlineStr">
        <is>
          <t>Izquierda</t>
        </is>
      </c>
      <c r="C6" s="6" t="inlineStr">
        <is>
          <t>Derecha</t>
        </is>
      </c>
      <c r="D6" s="6" t="inlineStr">
        <is>
          <t>Prefiere</t>
        </is>
      </c>
      <c r="E6" s="6" t="inlineStr">
        <is>
          <t>Valor (1-9)</t>
        </is>
      </c>
      <c r="F6" s="6" t="inlineStr">
        <is>
          <t>a(i,j)</t>
        </is>
      </c>
      <c r="G6" s="6" t="inlineStr">
        <is>
          <t>Lectura</t>
        </is>
      </c>
    </row>
    <row r="7">
      <c r="A7" s="7" t="n">
        <v>1</v>
      </c>
      <c r="B7" s="9">
        <f>Inicio!$A$16&amp;": "&amp;Inicio!$B$16</f>
        <v/>
      </c>
      <c r="C7" s="9">
        <f>Inicio!$A$17&amp;": "&amp;Inicio!$B$17</f>
        <v/>
      </c>
      <c r="D7" s="10" t="inlineStr">
        <is>
          <t>Izquierda</t>
        </is>
      </c>
      <c r="E7" s="10" t="n">
        <v>3</v>
      </c>
      <c r="F7" s="12">
        <f>IF(D7="Izquierda",E7,IF(D7="Derecha",1/E7,1))</f>
        <v/>
      </c>
      <c r="G7" s="14">
        <f>IF(D7="Igual",B7&amp;" = "&amp;C7,IF(D7="Izquierda",B7&amp;" &gt; "&amp;C7&amp;" (x"&amp;E7&amp;")",C7&amp;" &gt; "&amp;B7&amp;" (x"&amp;E7&amp;")"))</f>
        <v/>
      </c>
    </row>
    <row r="8">
      <c r="A8" s="7" t="n">
        <v>2</v>
      </c>
      <c r="B8" s="9">
        <f>Inicio!$A$16&amp;": "&amp;Inicio!$B$16</f>
        <v/>
      </c>
      <c r="C8" s="9">
        <f>Inicio!$A$18&amp;": "&amp;Inicio!$B$18</f>
        <v/>
      </c>
      <c r="D8" s="10" t="inlineStr">
        <is>
          <t>Igual</t>
        </is>
      </c>
      <c r="E8" s="10" t="n">
        <v>1</v>
      </c>
      <c r="F8" s="12">
        <f>IF(D8="Izquierda",E8,IF(D8="Derecha",1/E8,1))</f>
        <v/>
      </c>
      <c r="G8" s="14">
        <f>IF(D8="Igual",B8&amp;" = "&amp;C8,IF(D8="Izquierda",B8&amp;" &gt; "&amp;C8&amp;" (x"&amp;E8&amp;")",C8&amp;" &gt; "&amp;B8&amp;" (x"&amp;E8&amp;")"))</f>
        <v/>
      </c>
    </row>
    <row r="9">
      <c r="A9" s="7" t="n">
        <v>3</v>
      </c>
      <c r="B9" s="9">
        <f>Inicio!$A$17&amp;": "&amp;Inicio!$B$17</f>
        <v/>
      </c>
      <c r="C9" s="9">
        <f>Inicio!$A$18&amp;": "&amp;Inicio!$B$18</f>
        <v/>
      </c>
      <c r="D9" s="10" t="inlineStr">
        <is>
          <t>Derecha</t>
        </is>
      </c>
      <c r="E9" s="10" t="n">
        <v>3</v>
      </c>
      <c r="F9" s="12">
        <f>IF(D9="Izquierda",E9,IF(D9="Derecha",1/E9,1))</f>
        <v/>
      </c>
      <c r="G9" s="14">
        <f>IF(D9="Igual",B9&amp;" = "&amp;C9,IF(D9="Izquierda",B9&amp;" &gt; "&amp;C9&amp;" (x"&amp;E9&amp;")",C9&amp;" &gt; "&amp;B9&amp;" (x"&amp;E9&amp;")"))</f>
        <v/>
      </c>
    </row>
    <row r="11">
      <c r="A11" s="24" t="inlineStr">
        <is>
          <t>2. Matriz de comparación y prioridades</t>
        </is>
      </c>
    </row>
    <row r="12">
      <c r="A12" s="6" t="n"/>
      <c r="B12" s="6">
        <f>Inicio!$A$16</f>
        <v/>
      </c>
      <c r="C12" s="6">
        <f>Inicio!$A$17</f>
        <v/>
      </c>
      <c r="D12" s="6">
        <f>Inicio!$A$18</f>
        <v/>
      </c>
      <c r="E12" s="6" t="inlineStr">
        <is>
          <t>Prioridad</t>
        </is>
      </c>
      <c r="F12" s="6" t="inlineStr">
        <is>
          <t>Posición</t>
        </is>
      </c>
    </row>
    <row r="13">
      <c r="A13" s="16">
        <f>Inicio!$A$16</f>
        <v/>
      </c>
      <c r="B13" s="12" t="n">
        <v>1</v>
      </c>
      <c r="C13" s="12">
        <f>F7</f>
        <v/>
      </c>
      <c r="D13" s="12">
        <f>F8</f>
        <v/>
      </c>
      <c r="E13" s="17">
        <f>B53</f>
        <v/>
      </c>
      <c r="F13" s="7">
        <f>RANK(E13,$E$13:$E$15)</f>
        <v/>
      </c>
    </row>
    <row r="14">
      <c r="A14" s="16">
        <f>Inicio!$A$17</f>
        <v/>
      </c>
      <c r="B14" s="12">
        <f>1/C13</f>
        <v/>
      </c>
      <c r="C14" s="12" t="n">
        <v>1</v>
      </c>
      <c r="D14" s="12">
        <f>F9</f>
        <v/>
      </c>
      <c r="E14" s="17">
        <f>C53</f>
        <v/>
      </c>
      <c r="F14" s="7">
        <f>RANK(E14,$E$13:$E$15)</f>
        <v/>
      </c>
    </row>
    <row r="15">
      <c r="A15" s="16">
        <f>Inicio!$A$18</f>
        <v/>
      </c>
      <c r="B15" s="12">
        <f>1/D13</f>
        <v/>
      </c>
      <c r="C15" s="12">
        <f>1/D14</f>
        <v/>
      </c>
      <c r="D15" s="12" t="n">
        <v>1</v>
      </c>
      <c r="E15" s="17">
        <f>D53</f>
        <v/>
      </c>
      <c r="F15" s="7">
        <f>RANK(E15,$E$13:$E$15)</f>
        <v/>
      </c>
    </row>
    <row r="16">
      <c r="A16" s="16" t="inlineStr">
        <is>
          <t>Suma columna</t>
        </is>
      </c>
      <c r="B16" s="18">
        <f>SUM(B13:B15)</f>
        <v/>
      </c>
      <c r="C16" s="18">
        <f>SUM(C13:C15)</f>
        <v/>
      </c>
      <c r="D16" s="18">
        <f>SUM(D13:D15)</f>
        <v/>
      </c>
    </row>
    <row r="18">
      <c r="A18" s="24" t="inlineStr">
        <is>
          <t>Consistencia</t>
        </is>
      </c>
    </row>
    <row r="19">
      <c r="A19" s="4" t="inlineStr">
        <is>
          <t>λ máx</t>
        </is>
      </c>
      <c r="B19" s="19">
        <f>SUMPRODUCT($B$16:$D$16,$B$53:$D$53)</f>
        <v/>
      </c>
    </row>
    <row r="20">
      <c r="A20" s="4" t="inlineStr">
        <is>
          <t>CI</t>
        </is>
      </c>
      <c r="B20" s="19">
        <f>(B19-3)/(3-1)</f>
        <v/>
      </c>
    </row>
    <row r="21" ht="15.75" customHeight="1" s="42">
      <c r="A21" s="4" t="inlineStr">
        <is>
          <t>RI</t>
        </is>
      </c>
      <c r="B21" s="20">
        <f t="array" ref="B21">INDEX(Inicio!$B$22:$B$26,3)</f>
        <v/>
      </c>
    </row>
    <row r="22" ht="15.75" customHeight="1" s="42">
      <c r="A22" s="4" t="inlineStr">
        <is>
          <t>CR</t>
        </is>
      </c>
      <c r="B22" s="21">
        <f>IF(B21=0,0,B20/B21)</f>
        <v/>
      </c>
    </row>
    <row r="23" ht="15.75" customHeight="1" s="42">
      <c r="A23" s="4" t="inlineStr">
        <is>
          <t>Estado</t>
        </is>
      </c>
      <c r="B23" s="22">
        <f>IF(B22&lt;0.1,"OK (CR &lt; 10 %)","REVISAR: CR ≥ 10 %")</f>
        <v/>
      </c>
    </row>
    <row r="24" ht="15.75" customHeight="1" s="42"/>
    <row r="25" ht="15.75" customHeight="1" s="42"/>
    <row r="26" ht="15.75" customHeight="1" s="42">
      <c r="A26" s="24" t="inlineStr">
        <is>
          <t>3. Cálculo del vector propio (método de las potencias, 25 iteraciones)</t>
        </is>
      </c>
    </row>
    <row r="27" ht="15.75" customHeight="1" s="42">
      <c r="A27" s="6" t="inlineStr">
        <is>
          <t>Iteración</t>
        </is>
      </c>
      <c r="B27" s="6">
        <f>Inicio!$A$16</f>
        <v/>
      </c>
      <c r="C27" s="6">
        <f>Inicio!$A$17</f>
        <v/>
      </c>
      <c r="D27" s="6">
        <f>Inicio!$A$18</f>
        <v/>
      </c>
    </row>
    <row r="28" ht="15.75" customHeight="1" s="42">
      <c r="A28" s="7" t="n">
        <v>0</v>
      </c>
      <c r="B28" s="23">
        <f>1/3</f>
        <v/>
      </c>
      <c r="C28" s="23">
        <f>1/3</f>
        <v/>
      </c>
      <c r="D28" s="23">
        <f>1/3</f>
        <v/>
      </c>
    </row>
    <row r="29" ht="15.75" customHeight="1" s="42">
      <c r="A29" s="7" t="n">
        <v>1</v>
      </c>
      <c r="B29" s="23">
        <f>SUMPRODUCT($B$13:$D$13,$B28:$D28)/SUMPRODUCT($B$16:$D$16,$B28:$D28)</f>
        <v/>
      </c>
      <c r="C29" s="23">
        <f>SUMPRODUCT($B$14:$D$14,$B28:$D28)/SUMPRODUCT($B$16:$D$16,$B28:$D28)</f>
        <v/>
      </c>
      <c r="D29" s="23">
        <f>SUMPRODUCT($B$15:$D$15,$B28:$D28)/SUMPRODUCT($B$16:$D$16,$B28:$D28)</f>
        <v/>
      </c>
    </row>
    <row r="30" ht="15.75" customHeight="1" s="42">
      <c r="A30" s="7" t="n">
        <v>2</v>
      </c>
      <c r="B30" s="23">
        <f>SUMPRODUCT($B$13:$D$13,$B29:$D29)/SUMPRODUCT($B$16:$D$16,$B29:$D29)</f>
        <v/>
      </c>
      <c r="C30" s="23">
        <f>SUMPRODUCT($B$14:$D$14,$B29:$D29)/SUMPRODUCT($B$16:$D$16,$B29:$D29)</f>
        <v/>
      </c>
      <c r="D30" s="23">
        <f>SUMPRODUCT($B$15:$D$15,$B29:$D29)/SUMPRODUCT($B$16:$D$16,$B29:$D29)</f>
        <v/>
      </c>
    </row>
    <row r="31" ht="15.75" customHeight="1" s="42">
      <c r="A31" s="7" t="n">
        <v>3</v>
      </c>
      <c r="B31" s="23">
        <f>SUMPRODUCT($B$13:$D$13,$B30:$D30)/SUMPRODUCT($B$16:$D$16,$B30:$D30)</f>
        <v/>
      </c>
      <c r="C31" s="23">
        <f>SUMPRODUCT($B$14:$D$14,$B30:$D30)/SUMPRODUCT($B$16:$D$16,$B30:$D30)</f>
        <v/>
      </c>
      <c r="D31" s="23">
        <f>SUMPRODUCT($B$15:$D$15,$B30:$D30)/SUMPRODUCT($B$16:$D$16,$B30:$D30)</f>
        <v/>
      </c>
    </row>
    <row r="32" ht="15.75" customHeight="1" s="42">
      <c r="A32" s="7" t="n">
        <v>4</v>
      </c>
      <c r="B32" s="23">
        <f>SUMPRODUCT($B$13:$D$13,$B31:$D31)/SUMPRODUCT($B$16:$D$16,$B31:$D31)</f>
        <v/>
      </c>
      <c r="C32" s="23">
        <f>SUMPRODUCT($B$14:$D$14,$B31:$D31)/SUMPRODUCT($B$16:$D$16,$B31:$D31)</f>
        <v/>
      </c>
      <c r="D32" s="23">
        <f>SUMPRODUCT($B$15:$D$15,$B31:$D31)/SUMPRODUCT($B$16:$D$16,$B31:$D31)</f>
        <v/>
      </c>
    </row>
    <row r="33" ht="15.75" customHeight="1" s="42">
      <c r="A33" s="7" t="n">
        <v>5</v>
      </c>
      <c r="B33" s="23">
        <f>SUMPRODUCT($B$13:$D$13,$B32:$D32)/SUMPRODUCT($B$16:$D$16,$B32:$D32)</f>
        <v/>
      </c>
      <c r="C33" s="23">
        <f>SUMPRODUCT($B$14:$D$14,$B32:$D32)/SUMPRODUCT($B$16:$D$16,$B32:$D32)</f>
        <v/>
      </c>
      <c r="D33" s="23">
        <f>SUMPRODUCT($B$15:$D$15,$B32:$D32)/SUMPRODUCT($B$16:$D$16,$B32:$D32)</f>
        <v/>
      </c>
    </row>
    <row r="34" ht="15.75" customHeight="1" s="42">
      <c r="A34" s="7" t="n">
        <v>6</v>
      </c>
      <c r="B34" s="23">
        <f>SUMPRODUCT($B$13:$D$13,$B33:$D33)/SUMPRODUCT($B$16:$D$16,$B33:$D33)</f>
        <v/>
      </c>
      <c r="C34" s="23">
        <f>SUMPRODUCT($B$14:$D$14,$B33:$D33)/SUMPRODUCT($B$16:$D$16,$B33:$D33)</f>
        <v/>
      </c>
      <c r="D34" s="23">
        <f>SUMPRODUCT($B$15:$D$15,$B33:$D33)/SUMPRODUCT($B$16:$D$16,$B33:$D33)</f>
        <v/>
      </c>
    </row>
    <row r="35" ht="15.75" customHeight="1" s="42">
      <c r="A35" s="7" t="n">
        <v>7</v>
      </c>
      <c r="B35" s="23">
        <f>SUMPRODUCT($B$13:$D$13,$B34:$D34)/SUMPRODUCT($B$16:$D$16,$B34:$D34)</f>
        <v/>
      </c>
      <c r="C35" s="23">
        <f>SUMPRODUCT($B$14:$D$14,$B34:$D34)/SUMPRODUCT($B$16:$D$16,$B34:$D34)</f>
        <v/>
      </c>
      <c r="D35" s="23">
        <f>SUMPRODUCT($B$15:$D$15,$B34:$D34)/SUMPRODUCT($B$16:$D$16,$B34:$D34)</f>
        <v/>
      </c>
    </row>
    <row r="36" ht="15.75" customHeight="1" s="42">
      <c r="A36" s="7" t="n">
        <v>8</v>
      </c>
      <c r="B36" s="23">
        <f>SUMPRODUCT($B$13:$D$13,$B35:$D35)/SUMPRODUCT($B$16:$D$16,$B35:$D35)</f>
        <v/>
      </c>
      <c r="C36" s="23">
        <f>SUMPRODUCT($B$14:$D$14,$B35:$D35)/SUMPRODUCT($B$16:$D$16,$B35:$D35)</f>
        <v/>
      </c>
      <c r="D36" s="23">
        <f>SUMPRODUCT($B$15:$D$15,$B35:$D35)/SUMPRODUCT($B$16:$D$16,$B35:$D35)</f>
        <v/>
      </c>
    </row>
    <row r="37" ht="15.75" customHeight="1" s="42">
      <c r="A37" s="7" t="n">
        <v>9</v>
      </c>
      <c r="B37" s="23">
        <f>SUMPRODUCT($B$13:$D$13,$B36:$D36)/SUMPRODUCT($B$16:$D$16,$B36:$D36)</f>
        <v/>
      </c>
      <c r="C37" s="23">
        <f>SUMPRODUCT($B$14:$D$14,$B36:$D36)/SUMPRODUCT($B$16:$D$16,$B36:$D36)</f>
        <v/>
      </c>
      <c r="D37" s="23">
        <f>SUMPRODUCT($B$15:$D$15,$B36:$D36)/SUMPRODUCT($B$16:$D$16,$B36:$D36)</f>
        <v/>
      </c>
    </row>
    <row r="38" ht="15.75" customHeight="1" s="42">
      <c r="A38" s="7" t="n">
        <v>10</v>
      </c>
      <c r="B38" s="23">
        <f>SUMPRODUCT($B$13:$D$13,$B37:$D37)/SUMPRODUCT($B$16:$D$16,$B37:$D37)</f>
        <v/>
      </c>
      <c r="C38" s="23">
        <f>SUMPRODUCT($B$14:$D$14,$B37:$D37)/SUMPRODUCT($B$16:$D$16,$B37:$D37)</f>
        <v/>
      </c>
      <c r="D38" s="23">
        <f>SUMPRODUCT($B$15:$D$15,$B37:$D37)/SUMPRODUCT($B$16:$D$16,$B37:$D37)</f>
        <v/>
      </c>
    </row>
    <row r="39" ht="15.75" customHeight="1" s="42">
      <c r="A39" s="7" t="n">
        <v>11</v>
      </c>
      <c r="B39" s="23">
        <f>SUMPRODUCT($B$13:$D$13,$B38:$D38)/SUMPRODUCT($B$16:$D$16,$B38:$D38)</f>
        <v/>
      </c>
      <c r="C39" s="23">
        <f>SUMPRODUCT($B$14:$D$14,$B38:$D38)/SUMPRODUCT($B$16:$D$16,$B38:$D38)</f>
        <v/>
      </c>
      <c r="D39" s="23">
        <f>SUMPRODUCT($B$15:$D$15,$B38:$D38)/SUMPRODUCT($B$16:$D$16,$B38:$D38)</f>
        <v/>
      </c>
    </row>
    <row r="40" ht="15.75" customHeight="1" s="42">
      <c r="A40" s="7" t="n">
        <v>12</v>
      </c>
      <c r="B40" s="23">
        <f>SUMPRODUCT($B$13:$D$13,$B39:$D39)/SUMPRODUCT($B$16:$D$16,$B39:$D39)</f>
        <v/>
      </c>
      <c r="C40" s="23">
        <f>SUMPRODUCT($B$14:$D$14,$B39:$D39)/SUMPRODUCT($B$16:$D$16,$B39:$D39)</f>
        <v/>
      </c>
      <c r="D40" s="23">
        <f>SUMPRODUCT($B$15:$D$15,$B39:$D39)/SUMPRODUCT($B$16:$D$16,$B39:$D39)</f>
        <v/>
      </c>
    </row>
    <row r="41" ht="15.75" customHeight="1" s="42">
      <c r="A41" s="7" t="n">
        <v>13</v>
      </c>
      <c r="B41" s="23">
        <f>SUMPRODUCT($B$13:$D$13,$B40:$D40)/SUMPRODUCT($B$16:$D$16,$B40:$D40)</f>
        <v/>
      </c>
      <c r="C41" s="23">
        <f>SUMPRODUCT($B$14:$D$14,$B40:$D40)/SUMPRODUCT($B$16:$D$16,$B40:$D40)</f>
        <v/>
      </c>
      <c r="D41" s="23">
        <f>SUMPRODUCT($B$15:$D$15,$B40:$D40)/SUMPRODUCT($B$16:$D$16,$B40:$D40)</f>
        <v/>
      </c>
    </row>
    <row r="42" ht="15.75" customHeight="1" s="42">
      <c r="A42" s="7" t="n">
        <v>14</v>
      </c>
      <c r="B42" s="23">
        <f>SUMPRODUCT($B$13:$D$13,$B41:$D41)/SUMPRODUCT($B$16:$D$16,$B41:$D41)</f>
        <v/>
      </c>
      <c r="C42" s="23">
        <f>SUMPRODUCT($B$14:$D$14,$B41:$D41)/SUMPRODUCT($B$16:$D$16,$B41:$D41)</f>
        <v/>
      </c>
      <c r="D42" s="23">
        <f>SUMPRODUCT($B$15:$D$15,$B41:$D41)/SUMPRODUCT($B$16:$D$16,$B41:$D41)</f>
        <v/>
      </c>
    </row>
    <row r="43" ht="15.75" customHeight="1" s="42">
      <c r="A43" s="7" t="n">
        <v>15</v>
      </c>
      <c r="B43" s="23">
        <f>SUMPRODUCT($B$13:$D$13,$B42:$D42)/SUMPRODUCT($B$16:$D$16,$B42:$D42)</f>
        <v/>
      </c>
      <c r="C43" s="23">
        <f>SUMPRODUCT($B$14:$D$14,$B42:$D42)/SUMPRODUCT($B$16:$D$16,$B42:$D42)</f>
        <v/>
      </c>
      <c r="D43" s="23">
        <f>SUMPRODUCT($B$15:$D$15,$B42:$D42)/SUMPRODUCT($B$16:$D$16,$B42:$D42)</f>
        <v/>
      </c>
    </row>
    <row r="44" ht="15.75" customHeight="1" s="42">
      <c r="A44" s="7" t="n">
        <v>16</v>
      </c>
      <c r="B44" s="23">
        <f>SUMPRODUCT($B$13:$D$13,$B43:$D43)/SUMPRODUCT($B$16:$D$16,$B43:$D43)</f>
        <v/>
      </c>
      <c r="C44" s="23">
        <f>SUMPRODUCT($B$14:$D$14,$B43:$D43)/SUMPRODUCT($B$16:$D$16,$B43:$D43)</f>
        <v/>
      </c>
      <c r="D44" s="23">
        <f>SUMPRODUCT($B$15:$D$15,$B43:$D43)/SUMPRODUCT($B$16:$D$16,$B43:$D43)</f>
        <v/>
      </c>
    </row>
    <row r="45" ht="15.75" customHeight="1" s="42">
      <c r="A45" s="7" t="n">
        <v>17</v>
      </c>
      <c r="B45" s="23">
        <f>SUMPRODUCT($B$13:$D$13,$B44:$D44)/SUMPRODUCT($B$16:$D$16,$B44:$D44)</f>
        <v/>
      </c>
      <c r="C45" s="23">
        <f>SUMPRODUCT($B$14:$D$14,$B44:$D44)/SUMPRODUCT($B$16:$D$16,$B44:$D44)</f>
        <v/>
      </c>
      <c r="D45" s="23">
        <f>SUMPRODUCT($B$15:$D$15,$B44:$D44)/SUMPRODUCT($B$16:$D$16,$B44:$D44)</f>
        <v/>
      </c>
    </row>
    <row r="46" ht="15.75" customHeight="1" s="42">
      <c r="A46" s="7" t="n">
        <v>18</v>
      </c>
      <c r="B46" s="23">
        <f>SUMPRODUCT($B$13:$D$13,$B45:$D45)/SUMPRODUCT($B$16:$D$16,$B45:$D45)</f>
        <v/>
      </c>
      <c r="C46" s="23">
        <f>SUMPRODUCT($B$14:$D$14,$B45:$D45)/SUMPRODUCT($B$16:$D$16,$B45:$D45)</f>
        <v/>
      </c>
      <c r="D46" s="23">
        <f>SUMPRODUCT($B$15:$D$15,$B45:$D45)/SUMPRODUCT($B$16:$D$16,$B45:$D45)</f>
        <v/>
      </c>
    </row>
    <row r="47" ht="15.75" customHeight="1" s="42">
      <c r="A47" s="7" t="n">
        <v>19</v>
      </c>
      <c r="B47" s="23">
        <f>SUMPRODUCT($B$13:$D$13,$B46:$D46)/SUMPRODUCT($B$16:$D$16,$B46:$D46)</f>
        <v/>
      </c>
      <c r="C47" s="23">
        <f>SUMPRODUCT($B$14:$D$14,$B46:$D46)/SUMPRODUCT($B$16:$D$16,$B46:$D46)</f>
        <v/>
      </c>
      <c r="D47" s="23">
        <f>SUMPRODUCT($B$15:$D$15,$B46:$D46)/SUMPRODUCT($B$16:$D$16,$B46:$D46)</f>
        <v/>
      </c>
    </row>
    <row r="48" ht="15.75" customHeight="1" s="42">
      <c r="A48" s="7" t="n">
        <v>20</v>
      </c>
      <c r="B48" s="23">
        <f>SUMPRODUCT($B$13:$D$13,$B47:$D47)/SUMPRODUCT($B$16:$D$16,$B47:$D47)</f>
        <v/>
      </c>
      <c r="C48" s="23">
        <f>SUMPRODUCT($B$14:$D$14,$B47:$D47)/SUMPRODUCT($B$16:$D$16,$B47:$D47)</f>
        <v/>
      </c>
      <c r="D48" s="23">
        <f>SUMPRODUCT($B$15:$D$15,$B47:$D47)/SUMPRODUCT($B$16:$D$16,$B47:$D47)</f>
        <v/>
      </c>
    </row>
    <row r="49" ht="15.75" customHeight="1" s="42">
      <c r="A49" s="7" t="n">
        <v>21</v>
      </c>
      <c r="B49" s="23">
        <f>SUMPRODUCT($B$13:$D$13,$B48:$D48)/SUMPRODUCT($B$16:$D$16,$B48:$D48)</f>
        <v/>
      </c>
      <c r="C49" s="23">
        <f>SUMPRODUCT($B$14:$D$14,$B48:$D48)/SUMPRODUCT($B$16:$D$16,$B48:$D48)</f>
        <v/>
      </c>
      <c r="D49" s="23">
        <f>SUMPRODUCT($B$15:$D$15,$B48:$D48)/SUMPRODUCT($B$16:$D$16,$B48:$D48)</f>
        <v/>
      </c>
    </row>
    <row r="50" ht="15.75" customHeight="1" s="42">
      <c r="A50" s="7" t="n">
        <v>22</v>
      </c>
      <c r="B50" s="23">
        <f>SUMPRODUCT($B$13:$D$13,$B49:$D49)/SUMPRODUCT($B$16:$D$16,$B49:$D49)</f>
        <v/>
      </c>
      <c r="C50" s="23">
        <f>SUMPRODUCT($B$14:$D$14,$B49:$D49)/SUMPRODUCT($B$16:$D$16,$B49:$D49)</f>
        <v/>
      </c>
      <c r="D50" s="23">
        <f>SUMPRODUCT($B$15:$D$15,$B49:$D49)/SUMPRODUCT($B$16:$D$16,$B49:$D49)</f>
        <v/>
      </c>
    </row>
    <row r="51" ht="15.75" customHeight="1" s="42">
      <c r="A51" s="7" t="n">
        <v>23</v>
      </c>
      <c r="B51" s="23">
        <f>SUMPRODUCT($B$13:$D$13,$B50:$D50)/SUMPRODUCT($B$16:$D$16,$B50:$D50)</f>
        <v/>
      </c>
      <c r="C51" s="23">
        <f>SUMPRODUCT($B$14:$D$14,$B50:$D50)/SUMPRODUCT($B$16:$D$16,$B50:$D50)</f>
        <v/>
      </c>
      <c r="D51" s="23">
        <f>SUMPRODUCT($B$15:$D$15,$B50:$D50)/SUMPRODUCT($B$16:$D$16,$B50:$D50)</f>
        <v/>
      </c>
    </row>
    <row r="52" ht="15.75" customHeight="1" s="42">
      <c r="A52" s="7" t="n">
        <v>24</v>
      </c>
      <c r="B52" s="23">
        <f>SUMPRODUCT($B$13:$D$13,$B51:$D51)/SUMPRODUCT($B$16:$D$16,$B51:$D51)</f>
        <v/>
      </c>
      <c r="C52" s="23">
        <f>SUMPRODUCT($B$14:$D$14,$B51:$D51)/SUMPRODUCT($B$16:$D$16,$B51:$D51)</f>
        <v/>
      </c>
      <c r="D52" s="23">
        <f>SUMPRODUCT($B$15:$D$15,$B51:$D51)/SUMPRODUCT($B$16:$D$16,$B51:$D51)</f>
        <v/>
      </c>
    </row>
    <row r="53" ht="15.75" customHeight="1" s="42">
      <c r="A53" s="7" t="n">
        <v>25</v>
      </c>
      <c r="B53" s="23">
        <f>SUMPRODUCT($B$13:$D$13,$B52:$D52)/SUMPRODUCT($B$16:$D$16,$B52:$D52)</f>
        <v/>
      </c>
      <c r="C53" s="23">
        <f>SUMPRODUCT($B$14:$D$14,$B52:$D52)/SUMPRODUCT($B$16:$D$16,$B52:$D52)</f>
        <v/>
      </c>
      <c r="D53" s="23">
        <f>SUMPRODUCT($B$15:$D$15,$B52:$D52)/SUMPRODUCT($B$16:$D$16,$B52:$D52)</f>
        <v/>
      </c>
    </row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conditionalFormatting sqref="B23">
    <cfRule type="expression" priority="1" dxfId="0">
      <formula>LEFT($B$23,2)="OK"</formula>
    </cfRule>
    <cfRule type="expression" priority="2" dxfId="1">
      <formula>LEFT($B$23,2)&lt;&gt;"OK"</formula>
    </cfRule>
  </conditionalFormatting>
  <dataValidations count="2">
    <dataValidation sqref="E7:E9" showDropDown="0" showInputMessage="0" showErrorMessage="0" allowBlank="0" type="decimal">
      <formula1>1.0</formula1>
      <formula2>9.0</formula2>
    </dataValidation>
    <dataValidation sqref="D7:D9" showDropDown="0" showInputMessage="0" showErrorMessage="0" allowBlank="0" type="list">
      <formula1>"Izquierda,Derecha,Igual"</formula1>
    </dataValidation>
  </dataValidation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42" min="1" max="1"/>
    <col width="32" customWidth="1" style="42" min="2" max="3"/>
    <col width="14" customWidth="1" style="42" min="4" max="4"/>
    <col width="12" customWidth="1" style="42" min="5" max="6"/>
    <col width="50" customWidth="1" style="42" min="7" max="7"/>
    <col width="8.710000000000001" customWidth="1" style="42" min="8" max="26"/>
  </cols>
  <sheetData>
    <row r="1">
      <c r="A1" s="1">
        <f>"Comparación por pares de las ALTERNATIVAS respecto al criterio: "&amp;Inicio!$B$10</f>
        <v/>
      </c>
    </row>
    <row r="2">
      <c r="A2" s="35" t="inlineStr">
        <is>
          <t>Elija en 'Prefiere' cuál es más importante (Izquierda / Derecha / Igual) y en 'Valor' cuánto más (1 a 9, escala de Saaty). Edite solo las celdas amarillas.</t>
        </is>
      </c>
    </row>
    <row r="3">
      <c r="A3" s="35" t="inlineStr">
        <is>
          <t>Escala: 1 igual · 3 moderada · 5 fuerte · 7 muy fuerte · 9 extrema (2, 4, 6, 8 intermedios).</t>
        </is>
      </c>
    </row>
    <row r="5">
      <c r="A5" s="24" t="inlineStr">
        <is>
          <t>1. Juicios de comparación por pares</t>
        </is>
      </c>
    </row>
    <row r="6">
      <c r="A6" s="6" t="inlineStr">
        <is>
          <t>N°</t>
        </is>
      </c>
      <c r="B6" s="6" t="inlineStr">
        <is>
          <t>Izquierda</t>
        </is>
      </c>
      <c r="C6" s="6" t="inlineStr">
        <is>
          <t>Derecha</t>
        </is>
      </c>
      <c r="D6" s="6" t="inlineStr">
        <is>
          <t>Prefiere</t>
        </is>
      </c>
      <c r="E6" s="6" t="inlineStr">
        <is>
          <t>Valor (1-9)</t>
        </is>
      </c>
      <c r="F6" s="6" t="inlineStr">
        <is>
          <t>a(i,j)</t>
        </is>
      </c>
      <c r="G6" s="6" t="inlineStr">
        <is>
          <t>Lectura</t>
        </is>
      </c>
    </row>
    <row r="7">
      <c r="A7" s="7" t="n">
        <v>1</v>
      </c>
      <c r="B7" s="9">
        <f>Inicio!$A$16&amp;": "&amp;Inicio!$B$16</f>
        <v/>
      </c>
      <c r="C7" s="9">
        <f>Inicio!$A$17&amp;": "&amp;Inicio!$B$17</f>
        <v/>
      </c>
      <c r="D7" s="10" t="inlineStr">
        <is>
          <t>Izquierda</t>
        </is>
      </c>
      <c r="E7" s="10" t="n">
        <v>4</v>
      </c>
      <c r="F7" s="12">
        <f>IF(D7="Izquierda",E7,IF(D7="Derecha",1/E7,1))</f>
        <v/>
      </c>
      <c r="G7" s="14">
        <f>IF(D7="Igual",B7&amp;" = "&amp;C7,IF(D7="Izquierda",B7&amp;" &gt; "&amp;C7&amp;" (x"&amp;E7&amp;")",C7&amp;" &gt; "&amp;B7&amp;" (x"&amp;E7&amp;")"))</f>
        <v/>
      </c>
    </row>
    <row r="8">
      <c r="A8" s="7" t="n">
        <v>2</v>
      </c>
      <c r="B8" s="9">
        <f>Inicio!$A$16&amp;": "&amp;Inicio!$B$16</f>
        <v/>
      </c>
      <c r="C8" s="9">
        <f>Inicio!$A$18&amp;": "&amp;Inicio!$B$18</f>
        <v/>
      </c>
      <c r="D8" s="10" t="inlineStr">
        <is>
          <t>Igual</t>
        </is>
      </c>
      <c r="E8" s="10" t="n">
        <v>1</v>
      </c>
      <c r="F8" s="12">
        <f>IF(D8="Izquierda",E8,IF(D8="Derecha",1/E8,1))</f>
        <v/>
      </c>
      <c r="G8" s="14">
        <f>IF(D8="Igual",B8&amp;" = "&amp;C8,IF(D8="Izquierda",B8&amp;" &gt; "&amp;C8&amp;" (x"&amp;E8&amp;")",C8&amp;" &gt; "&amp;B8&amp;" (x"&amp;E8&amp;")"))</f>
        <v/>
      </c>
    </row>
    <row r="9">
      <c r="A9" s="7" t="n">
        <v>3</v>
      </c>
      <c r="B9" s="9">
        <f>Inicio!$A$17&amp;": "&amp;Inicio!$B$17</f>
        <v/>
      </c>
      <c r="C9" s="9">
        <f>Inicio!$A$18&amp;": "&amp;Inicio!$B$18</f>
        <v/>
      </c>
      <c r="D9" s="10" t="inlineStr">
        <is>
          <t>Derecha</t>
        </is>
      </c>
      <c r="E9" s="10" t="n">
        <v>4</v>
      </c>
      <c r="F9" s="12">
        <f>IF(D9="Izquierda",E9,IF(D9="Derecha",1/E9,1))</f>
        <v/>
      </c>
      <c r="G9" s="14">
        <f>IF(D9="Igual",B9&amp;" = "&amp;C9,IF(D9="Izquierda",B9&amp;" &gt; "&amp;C9&amp;" (x"&amp;E9&amp;")",C9&amp;" &gt; "&amp;B9&amp;" (x"&amp;E9&amp;")"))</f>
        <v/>
      </c>
    </row>
    <row r="11">
      <c r="A11" s="24" t="inlineStr">
        <is>
          <t>2. Matriz de comparación y prioridades</t>
        </is>
      </c>
    </row>
    <row r="12">
      <c r="A12" s="6" t="n"/>
      <c r="B12" s="6">
        <f>Inicio!$A$16</f>
        <v/>
      </c>
      <c r="C12" s="6">
        <f>Inicio!$A$17</f>
        <v/>
      </c>
      <c r="D12" s="6">
        <f>Inicio!$A$18</f>
        <v/>
      </c>
      <c r="E12" s="6" t="inlineStr">
        <is>
          <t>Prioridad</t>
        </is>
      </c>
      <c r="F12" s="6" t="inlineStr">
        <is>
          <t>Posición</t>
        </is>
      </c>
    </row>
    <row r="13">
      <c r="A13" s="16">
        <f>Inicio!$A$16</f>
        <v/>
      </c>
      <c r="B13" s="12" t="n">
        <v>1</v>
      </c>
      <c r="C13" s="12">
        <f>F7</f>
        <v/>
      </c>
      <c r="D13" s="12">
        <f>F8</f>
        <v/>
      </c>
      <c r="E13" s="17">
        <f>B53</f>
        <v/>
      </c>
      <c r="F13" s="7">
        <f>RANK(E13,$E$13:$E$15)</f>
        <v/>
      </c>
    </row>
    <row r="14">
      <c r="A14" s="16">
        <f>Inicio!$A$17</f>
        <v/>
      </c>
      <c r="B14" s="12">
        <f>1/C13</f>
        <v/>
      </c>
      <c r="C14" s="12" t="n">
        <v>1</v>
      </c>
      <c r="D14" s="12">
        <f>F9</f>
        <v/>
      </c>
      <c r="E14" s="17">
        <f>C53</f>
        <v/>
      </c>
      <c r="F14" s="7">
        <f>RANK(E14,$E$13:$E$15)</f>
        <v/>
      </c>
    </row>
    <row r="15">
      <c r="A15" s="16">
        <f>Inicio!$A$18</f>
        <v/>
      </c>
      <c r="B15" s="12">
        <f>1/D13</f>
        <v/>
      </c>
      <c r="C15" s="12">
        <f>1/D14</f>
        <v/>
      </c>
      <c r="D15" s="12" t="n">
        <v>1</v>
      </c>
      <c r="E15" s="17">
        <f>D53</f>
        <v/>
      </c>
      <c r="F15" s="7">
        <f>RANK(E15,$E$13:$E$15)</f>
        <v/>
      </c>
    </row>
    <row r="16">
      <c r="A16" s="16" t="inlineStr">
        <is>
          <t>Suma columna</t>
        </is>
      </c>
      <c r="B16" s="18">
        <f>SUM(B13:B15)</f>
        <v/>
      </c>
      <c r="C16" s="18">
        <f>SUM(C13:C15)</f>
        <v/>
      </c>
      <c r="D16" s="18">
        <f>SUM(D13:D15)</f>
        <v/>
      </c>
    </row>
    <row r="18">
      <c r="A18" s="24" t="inlineStr">
        <is>
          <t>Consistencia</t>
        </is>
      </c>
    </row>
    <row r="19">
      <c r="A19" s="4" t="inlineStr">
        <is>
          <t>λ máx</t>
        </is>
      </c>
      <c r="B19" s="19">
        <f>SUMPRODUCT($B$16:$D$16,$B$53:$D$53)</f>
        <v/>
      </c>
    </row>
    <row r="20">
      <c r="A20" s="4" t="inlineStr">
        <is>
          <t>CI</t>
        </is>
      </c>
      <c r="B20" s="19">
        <f>(B19-3)/(3-1)</f>
        <v/>
      </c>
    </row>
    <row r="21" ht="15.75" customHeight="1" s="42">
      <c r="A21" s="4" t="inlineStr">
        <is>
          <t>RI</t>
        </is>
      </c>
      <c r="B21" s="20">
        <f t="array" ref="B21">INDEX(Inicio!$B$22:$B$26,3)</f>
        <v/>
      </c>
    </row>
    <row r="22" ht="15.75" customHeight="1" s="42">
      <c r="A22" s="4" t="inlineStr">
        <is>
          <t>CR</t>
        </is>
      </c>
      <c r="B22" s="21">
        <f>IF(B21=0,0,B20/B21)</f>
        <v/>
      </c>
    </row>
    <row r="23" ht="15.75" customHeight="1" s="42">
      <c r="A23" s="4" t="inlineStr">
        <is>
          <t>Estado</t>
        </is>
      </c>
      <c r="B23" s="22">
        <f>IF(B22&lt;0.1,"OK (CR &lt; 10 %)","REVISAR: CR ≥ 10 %")</f>
        <v/>
      </c>
    </row>
    <row r="24" ht="15.75" customHeight="1" s="42"/>
    <row r="25" ht="15.75" customHeight="1" s="42"/>
    <row r="26" ht="15.75" customHeight="1" s="42">
      <c r="A26" s="24" t="inlineStr">
        <is>
          <t>3. Cálculo del vector propio (método de las potencias, 25 iteraciones)</t>
        </is>
      </c>
    </row>
    <row r="27" ht="15.75" customHeight="1" s="42">
      <c r="A27" s="6" t="inlineStr">
        <is>
          <t>Iteración</t>
        </is>
      </c>
      <c r="B27" s="6">
        <f>Inicio!$A$16</f>
        <v/>
      </c>
      <c r="C27" s="6">
        <f>Inicio!$A$17</f>
        <v/>
      </c>
      <c r="D27" s="6">
        <f>Inicio!$A$18</f>
        <v/>
      </c>
    </row>
    <row r="28" ht="15.75" customHeight="1" s="42">
      <c r="A28" s="7" t="n">
        <v>0</v>
      </c>
      <c r="B28" s="23">
        <f>1/3</f>
        <v/>
      </c>
      <c r="C28" s="23">
        <f>1/3</f>
        <v/>
      </c>
      <c r="D28" s="23">
        <f>1/3</f>
        <v/>
      </c>
    </row>
    <row r="29" ht="15.75" customHeight="1" s="42">
      <c r="A29" s="7" t="n">
        <v>1</v>
      </c>
      <c r="B29" s="23">
        <f>SUMPRODUCT($B$13:$D$13,$B28:$D28)/SUMPRODUCT($B$16:$D$16,$B28:$D28)</f>
        <v/>
      </c>
      <c r="C29" s="23">
        <f>SUMPRODUCT($B$14:$D$14,$B28:$D28)/SUMPRODUCT($B$16:$D$16,$B28:$D28)</f>
        <v/>
      </c>
      <c r="D29" s="23">
        <f>SUMPRODUCT($B$15:$D$15,$B28:$D28)/SUMPRODUCT($B$16:$D$16,$B28:$D28)</f>
        <v/>
      </c>
    </row>
    <row r="30" ht="15.75" customHeight="1" s="42">
      <c r="A30" s="7" t="n">
        <v>2</v>
      </c>
      <c r="B30" s="23">
        <f>SUMPRODUCT($B$13:$D$13,$B29:$D29)/SUMPRODUCT($B$16:$D$16,$B29:$D29)</f>
        <v/>
      </c>
      <c r="C30" s="23">
        <f>SUMPRODUCT($B$14:$D$14,$B29:$D29)/SUMPRODUCT($B$16:$D$16,$B29:$D29)</f>
        <v/>
      </c>
      <c r="D30" s="23">
        <f>SUMPRODUCT($B$15:$D$15,$B29:$D29)/SUMPRODUCT($B$16:$D$16,$B29:$D29)</f>
        <v/>
      </c>
    </row>
    <row r="31" ht="15.75" customHeight="1" s="42">
      <c r="A31" s="7" t="n">
        <v>3</v>
      </c>
      <c r="B31" s="23">
        <f>SUMPRODUCT($B$13:$D$13,$B30:$D30)/SUMPRODUCT($B$16:$D$16,$B30:$D30)</f>
        <v/>
      </c>
      <c r="C31" s="23">
        <f>SUMPRODUCT($B$14:$D$14,$B30:$D30)/SUMPRODUCT($B$16:$D$16,$B30:$D30)</f>
        <v/>
      </c>
      <c r="D31" s="23">
        <f>SUMPRODUCT($B$15:$D$15,$B30:$D30)/SUMPRODUCT($B$16:$D$16,$B30:$D30)</f>
        <v/>
      </c>
    </row>
    <row r="32" ht="15.75" customHeight="1" s="42">
      <c r="A32" s="7" t="n">
        <v>4</v>
      </c>
      <c r="B32" s="23">
        <f>SUMPRODUCT($B$13:$D$13,$B31:$D31)/SUMPRODUCT($B$16:$D$16,$B31:$D31)</f>
        <v/>
      </c>
      <c r="C32" s="23">
        <f>SUMPRODUCT($B$14:$D$14,$B31:$D31)/SUMPRODUCT($B$16:$D$16,$B31:$D31)</f>
        <v/>
      </c>
      <c r="D32" s="23">
        <f>SUMPRODUCT($B$15:$D$15,$B31:$D31)/SUMPRODUCT($B$16:$D$16,$B31:$D31)</f>
        <v/>
      </c>
    </row>
    <row r="33" ht="15.75" customHeight="1" s="42">
      <c r="A33" s="7" t="n">
        <v>5</v>
      </c>
      <c r="B33" s="23">
        <f>SUMPRODUCT($B$13:$D$13,$B32:$D32)/SUMPRODUCT($B$16:$D$16,$B32:$D32)</f>
        <v/>
      </c>
      <c r="C33" s="23">
        <f>SUMPRODUCT($B$14:$D$14,$B32:$D32)/SUMPRODUCT($B$16:$D$16,$B32:$D32)</f>
        <v/>
      </c>
      <c r="D33" s="23">
        <f>SUMPRODUCT($B$15:$D$15,$B32:$D32)/SUMPRODUCT($B$16:$D$16,$B32:$D32)</f>
        <v/>
      </c>
    </row>
    <row r="34" ht="15.75" customHeight="1" s="42">
      <c r="A34" s="7" t="n">
        <v>6</v>
      </c>
      <c r="B34" s="23">
        <f>SUMPRODUCT($B$13:$D$13,$B33:$D33)/SUMPRODUCT($B$16:$D$16,$B33:$D33)</f>
        <v/>
      </c>
      <c r="C34" s="23">
        <f>SUMPRODUCT($B$14:$D$14,$B33:$D33)/SUMPRODUCT($B$16:$D$16,$B33:$D33)</f>
        <v/>
      </c>
      <c r="D34" s="23">
        <f>SUMPRODUCT($B$15:$D$15,$B33:$D33)/SUMPRODUCT($B$16:$D$16,$B33:$D33)</f>
        <v/>
      </c>
    </row>
    <row r="35" ht="15.75" customHeight="1" s="42">
      <c r="A35" s="7" t="n">
        <v>7</v>
      </c>
      <c r="B35" s="23">
        <f>SUMPRODUCT($B$13:$D$13,$B34:$D34)/SUMPRODUCT($B$16:$D$16,$B34:$D34)</f>
        <v/>
      </c>
      <c r="C35" s="23">
        <f>SUMPRODUCT($B$14:$D$14,$B34:$D34)/SUMPRODUCT($B$16:$D$16,$B34:$D34)</f>
        <v/>
      </c>
      <c r="D35" s="23">
        <f>SUMPRODUCT($B$15:$D$15,$B34:$D34)/SUMPRODUCT($B$16:$D$16,$B34:$D34)</f>
        <v/>
      </c>
    </row>
    <row r="36" ht="15.75" customHeight="1" s="42">
      <c r="A36" s="7" t="n">
        <v>8</v>
      </c>
      <c r="B36" s="23">
        <f>SUMPRODUCT($B$13:$D$13,$B35:$D35)/SUMPRODUCT($B$16:$D$16,$B35:$D35)</f>
        <v/>
      </c>
      <c r="C36" s="23">
        <f>SUMPRODUCT($B$14:$D$14,$B35:$D35)/SUMPRODUCT($B$16:$D$16,$B35:$D35)</f>
        <v/>
      </c>
      <c r="D36" s="23">
        <f>SUMPRODUCT($B$15:$D$15,$B35:$D35)/SUMPRODUCT($B$16:$D$16,$B35:$D35)</f>
        <v/>
      </c>
    </row>
    <row r="37" ht="15.75" customHeight="1" s="42">
      <c r="A37" s="7" t="n">
        <v>9</v>
      </c>
      <c r="B37" s="23">
        <f>SUMPRODUCT($B$13:$D$13,$B36:$D36)/SUMPRODUCT($B$16:$D$16,$B36:$D36)</f>
        <v/>
      </c>
      <c r="C37" s="23">
        <f>SUMPRODUCT($B$14:$D$14,$B36:$D36)/SUMPRODUCT($B$16:$D$16,$B36:$D36)</f>
        <v/>
      </c>
      <c r="D37" s="23">
        <f>SUMPRODUCT($B$15:$D$15,$B36:$D36)/SUMPRODUCT($B$16:$D$16,$B36:$D36)</f>
        <v/>
      </c>
    </row>
    <row r="38" ht="15.75" customHeight="1" s="42">
      <c r="A38" s="7" t="n">
        <v>10</v>
      </c>
      <c r="B38" s="23">
        <f>SUMPRODUCT($B$13:$D$13,$B37:$D37)/SUMPRODUCT($B$16:$D$16,$B37:$D37)</f>
        <v/>
      </c>
      <c r="C38" s="23">
        <f>SUMPRODUCT($B$14:$D$14,$B37:$D37)/SUMPRODUCT($B$16:$D$16,$B37:$D37)</f>
        <v/>
      </c>
      <c r="D38" s="23">
        <f>SUMPRODUCT($B$15:$D$15,$B37:$D37)/SUMPRODUCT($B$16:$D$16,$B37:$D37)</f>
        <v/>
      </c>
    </row>
    <row r="39" ht="15.75" customHeight="1" s="42">
      <c r="A39" s="7" t="n">
        <v>11</v>
      </c>
      <c r="B39" s="23">
        <f>SUMPRODUCT($B$13:$D$13,$B38:$D38)/SUMPRODUCT($B$16:$D$16,$B38:$D38)</f>
        <v/>
      </c>
      <c r="C39" s="23">
        <f>SUMPRODUCT($B$14:$D$14,$B38:$D38)/SUMPRODUCT($B$16:$D$16,$B38:$D38)</f>
        <v/>
      </c>
      <c r="D39" s="23">
        <f>SUMPRODUCT($B$15:$D$15,$B38:$D38)/SUMPRODUCT($B$16:$D$16,$B38:$D38)</f>
        <v/>
      </c>
    </row>
    <row r="40" ht="15.75" customHeight="1" s="42">
      <c r="A40" s="7" t="n">
        <v>12</v>
      </c>
      <c r="B40" s="23">
        <f>SUMPRODUCT($B$13:$D$13,$B39:$D39)/SUMPRODUCT($B$16:$D$16,$B39:$D39)</f>
        <v/>
      </c>
      <c r="C40" s="23">
        <f>SUMPRODUCT($B$14:$D$14,$B39:$D39)/SUMPRODUCT($B$16:$D$16,$B39:$D39)</f>
        <v/>
      </c>
      <c r="D40" s="23">
        <f>SUMPRODUCT($B$15:$D$15,$B39:$D39)/SUMPRODUCT($B$16:$D$16,$B39:$D39)</f>
        <v/>
      </c>
    </row>
    <row r="41" ht="15.75" customHeight="1" s="42">
      <c r="A41" s="7" t="n">
        <v>13</v>
      </c>
      <c r="B41" s="23">
        <f>SUMPRODUCT($B$13:$D$13,$B40:$D40)/SUMPRODUCT($B$16:$D$16,$B40:$D40)</f>
        <v/>
      </c>
      <c r="C41" s="23">
        <f>SUMPRODUCT($B$14:$D$14,$B40:$D40)/SUMPRODUCT($B$16:$D$16,$B40:$D40)</f>
        <v/>
      </c>
      <c r="D41" s="23">
        <f>SUMPRODUCT($B$15:$D$15,$B40:$D40)/SUMPRODUCT($B$16:$D$16,$B40:$D40)</f>
        <v/>
      </c>
    </row>
    <row r="42" ht="15.75" customHeight="1" s="42">
      <c r="A42" s="7" t="n">
        <v>14</v>
      </c>
      <c r="B42" s="23">
        <f>SUMPRODUCT($B$13:$D$13,$B41:$D41)/SUMPRODUCT($B$16:$D$16,$B41:$D41)</f>
        <v/>
      </c>
      <c r="C42" s="23">
        <f>SUMPRODUCT($B$14:$D$14,$B41:$D41)/SUMPRODUCT($B$16:$D$16,$B41:$D41)</f>
        <v/>
      </c>
      <c r="D42" s="23">
        <f>SUMPRODUCT($B$15:$D$15,$B41:$D41)/SUMPRODUCT($B$16:$D$16,$B41:$D41)</f>
        <v/>
      </c>
    </row>
    <row r="43" ht="15.75" customHeight="1" s="42">
      <c r="A43" s="7" t="n">
        <v>15</v>
      </c>
      <c r="B43" s="23">
        <f>SUMPRODUCT($B$13:$D$13,$B42:$D42)/SUMPRODUCT($B$16:$D$16,$B42:$D42)</f>
        <v/>
      </c>
      <c r="C43" s="23">
        <f>SUMPRODUCT($B$14:$D$14,$B42:$D42)/SUMPRODUCT($B$16:$D$16,$B42:$D42)</f>
        <v/>
      </c>
      <c r="D43" s="23">
        <f>SUMPRODUCT($B$15:$D$15,$B42:$D42)/SUMPRODUCT($B$16:$D$16,$B42:$D42)</f>
        <v/>
      </c>
    </row>
    <row r="44" ht="15.75" customHeight="1" s="42">
      <c r="A44" s="7" t="n">
        <v>16</v>
      </c>
      <c r="B44" s="23">
        <f>SUMPRODUCT($B$13:$D$13,$B43:$D43)/SUMPRODUCT($B$16:$D$16,$B43:$D43)</f>
        <v/>
      </c>
      <c r="C44" s="23">
        <f>SUMPRODUCT($B$14:$D$14,$B43:$D43)/SUMPRODUCT($B$16:$D$16,$B43:$D43)</f>
        <v/>
      </c>
      <c r="D44" s="23">
        <f>SUMPRODUCT($B$15:$D$15,$B43:$D43)/SUMPRODUCT($B$16:$D$16,$B43:$D43)</f>
        <v/>
      </c>
    </row>
    <row r="45" ht="15.75" customHeight="1" s="42">
      <c r="A45" s="7" t="n">
        <v>17</v>
      </c>
      <c r="B45" s="23">
        <f>SUMPRODUCT($B$13:$D$13,$B44:$D44)/SUMPRODUCT($B$16:$D$16,$B44:$D44)</f>
        <v/>
      </c>
      <c r="C45" s="23">
        <f>SUMPRODUCT($B$14:$D$14,$B44:$D44)/SUMPRODUCT($B$16:$D$16,$B44:$D44)</f>
        <v/>
      </c>
      <c r="D45" s="23">
        <f>SUMPRODUCT($B$15:$D$15,$B44:$D44)/SUMPRODUCT($B$16:$D$16,$B44:$D44)</f>
        <v/>
      </c>
    </row>
    <row r="46" ht="15.75" customHeight="1" s="42">
      <c r="A46" s="7" t="n">
        <v>18</v>
      </c>
      <c r="B46" s="23">
        <f>SUMPRODUCT($B$13:$D$13,$B45:$D45)/SUMPRODUCT($B$16:$D$16,$B45:$D45)</f>
        <v/>
      </c>
      <c r="C46" s="23">
        <f>SUMPRODUCT($B$14:$D$14,$B45:$D45)/SUMPRODUCT($B$16:$D$16,$B45:$D45)</f>
        <v/>
      </c>
      <c r="D46" s="23">
        <f>SUMPRODUCT($B$15:$D$15,$B45:$D45)/SUMPRODUCT($B$16:$D$16,$B45:$D45)</f>
        <v/>
      </c>
    </row>
    <row r="47" ht="15.75" customHeight="1" s="42">
      <c r="A47" s="7" t="n">
        <v>19</v>
      </c>
      <c r="B47" s="23">
        <f>SUMPRODUCT($B$13:$D$13,$B46:$D46)/SUMPRODUCT($B$16:$D$16,$B46:$D46)</f>
        <v/>
      </c>
      <c r="C47" s="23">
        <f>SUMPRODUCT($B$14:$D$14,$B46:$D46)/SUMPRODUCT($B$16:$D$16,$B46:$D46)</f>
        <v/>
      </c>
      <c r="D47" s="23">
        <f>SUMPRODUCT($B$15:$D$15,$B46:$D46)/SUMPRODUCT($B$16:$D$16,$B46:$D46)</f>
        <v/>
      </c>
    </row>
    <row r="48" ht="15.75" customHeight="1" s="42">
      <c r="A48" s="7" t="n">
        <v>20</v>
      </c>
      <c r="B48" s="23">
        <f>SUMPRODUCT($B$13:$D$13,$B47:$D47)/SUMPRODUCT($B$16:$D$16,$B47:$D47)</f>
        <v/>
      </c>
      <c r="C48" s="23">
        <f>SUMPRODUCT($B$14:$D$14,$B47:$D47)/SUMPRODUCT($B$16:$D$16,$B47:$D47)</f>
        <v/>
      </c>
      <c r="D48" s="23">
        <f>SUMPRODUCT($B$15:$D$15,$B47:$D47)/SUMPRODUCT($B$16:$D$16,$B47:$D47)</f>
        <v/>
      </c>
    </row>
    <row r="49" ht="15.75" customHeight="1" s="42">
      <c r="A49" s="7" t="n">
        <v>21</v>
      </c>
      <c r="B49" s="23">
        <f>SUMPRODUCT($B$13:$D$13,$B48:$D48)/SUMPRODUCT($B$16:$D$16,$B48:$D48)</f>
        <v/>
      </c>
      <c r="C49" s="23">
        <f>SUMPRODUCT($B$14:$D$14,$B48:$D48)/SUMPRODUCT($B$16:$D$16,$B48:$D48)</f>
        <v/>
      </c>
      <c r="D49" s="23">
        <f>SUMPRODUCT($B$15:$D$15,$B48:$D48)/SUMPRODUCT($B$16:$D$16,$B48:$D48)</f>
        <v/>
      </c>
    </row>
    <row r="50" ht="15.75" customHeight="1" s="42">
      <c r="A50" s="7" t="n">
        <v>22</v>
      </c>
      <c r="B50" s="23">
        <f>SUMPRODUCT($B$13:$D$13,$B49:$D49)/SUMPRODUCT($B$16:$D$16,$B49:$D49)</f>
        <v/>
      </c>
      <c r="C50" s="23">
        <f>SUMPRODUCT($B$14:$D$14,$B49:$D49)/SUMPRODUCT($B$16:$D$16,$B49:$D49)</f>
        <v/>
      </c>
      <c r="D50" s="23">
        <f>SUMPRODUCT($B$15:$D$15,$B49:$D49)/SUMPRODUCT($B$16:$D$16,$B49:$D49)</f>
        <v/>
      </c>
    </row>
    <row r="51" ht="15.75" customHeight="1" s="42">
      <c r="A51" s="7" t="n">
        <v>23</v>
      </c>
      <c r="B51" s="23">
        <f>SUMPRODUCT($B$13:$D$13,$B50:$D50)/SUMPRODUCT($B$16:$D$16,$B50:$D50)</f>
        <v/>
      </c>
      <c r="C51" s="23">
        <f>SUMPRODUCT($B$14:$D$14,$B50:$D50)/SUMPRODUCT($B$16:$D$16,$B50:$D50)</f>
        <v/>
      </c>
      <c r="D51" s="23">
        <f>SUMPRODUCT($B$15:$D$15,$B50:$D50)/SUMPRODUCT($B$16:$D$16,$B50:$D50)</f>
        <v/>
      </c>
    </row>
    <row r="52" ht="15.75" customHeight="1" s="42">
      <c r="A52" s="7" t="n">
        <v>24</v>
      </c>
      <c r="B52" s="23">
        <f>SUMPRODUCT($B$13:$D$13,$B51:$D51)/SUMPRODUCT($B$16:$D$16,$B51:$D51)</f>
        <v/>
      </c>
      <c r="C52" s="23">
        <f>SUMPRODUCT($B$14:$D$14,$B51:$D51)/SUMPRODUCT($B$16:$D$16,$B51:$D51)</f>
        <v/>
      </c>
      <c r="D52" s="23">
        <f>SUMPRODUCT($B$15:$D$15,$B51:$D51)/SUMPRODUCT($B$16:$D$16,$B51:$D51)</f>
        <v/>
      </c>
    </row>
    <row r="53" ht="15.75" customHeight="1" s="42">
      <c r="A53" s="7" t="n">
        <v>25</v>
      </c>
      <c r="B53" s="23">
        <f>SUMPRODUCT($B$13:$D$13,$B52:$D52)/SUMPRODUCT($B$16:$D$16,$B52:$D52)</f>
        <v/>
      </c>
      <c r="C53" s="23">
        <f>SUMPRODUCT($B$14:$D$14,$B52:$D52)/SUMPRODUCT($B$16:$D$16,$B52:$D52)</f>
        <v/>
      </c>
      <c r="D53" s="23">
        <f>SUMPRODUCT($B$15:$D$15,$B52:$D52)/SUMPRODUCT($B$16:$D$16,$B52:$D52)</f>
        <v/>
      </c>
    </row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conditionalFormatting sqref="B23">
    <cfRule type="expression" priority="1" dxfId="0">
      <formula>LEFT($B$23,2)="OK"</formula>
    </cfRule>
    <cfRule type="expression" priority="2" dxfId="1">
      <formula>LEFT($B$23,2)&lt;&gt;"OK"</formula>
    </cfRule>
  </conditionalFormatting>
  <dataValidations count="2">
    <dataValidation sqref="E7:E9" showDropDown="0" showInputMessage="0" showErrorMessage="0" allowBlank="0" type="decimal">
      <formula1>1.0</formula1>
      <formula2>9.0</formula2>
    </dataValidation>
    <dataValidation sqref="D7:D9" showDropDown="0" showInputMessage="0" showErrorMessage="0" allowBlank="0" type="list">
      <formula1>"Izquierda,Derecha,Igual"</formula1>
    </dataValidation>
  </dataValidation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42" min="1" max="1"/>
    <col width="32" customWidth="1" style="42" min="2" max="3"/>
    <col width="14" customWidth="1" style="42" min="4" max="4"/>
    <col width="12" customWidth="1" style="42" min="5" max="6"/>
    <col width="50" customWidth="1" style="42" min="7" max="7"/>
    <col width="8.710000000000001" customWidth="1" style="42" min="8" max="26"/>
  </cols>
  <sheetData>
    <row r="1">
      <c r="A1" s="1">
        <f>"Comparación por pares de las ALTERNATIVAS respecto al criterio: "&amp;Inicio!$B$11</f>
        <v/>
      </c>
    </row>
    <row r="2">
      <c r="A2" s="35" t="inlineStr">
        <is>
          <t>Elija en 'Prefiere' cuál es más importante (Izquierda / Derecha / Igual) y en 'Valor' cuánto más (1 a 9, escala de Saaty). Edite solo las celdas amarillas.</t>
        </is>
      </c>
    </row>
    <row r="3">
      <c r="A3" s="35" t="inlineStr">
        <is>
          <t>Escala: 1 igual · 3 moderada · 5 fuerte · 7 muy fuerte · 9 extrema (2, 4, 6, 8 intermedios).</t>
        </is>
      </c>
    </row>
    <row r="5">
      <c r="A5" s="24" t="inlineStr">
        <is>
          <t>1. Juicios de comparación por pares</t>
        </is>
      </c>
    </row>
    <row r="6">
      <c r="A6" s="6" t="inlineStr">
        <is>
          <t>N°</t>
        </is>
      </c>
      <c r="B6" s="6" t="inlineStr">
        <is>
          <t>Izquierda</t>
        </is>
      </c>
      <c r="C6" s="6" t="inlineStr">
        <is>
          <t>Derecha</t>
        </is>
      </c>
      <c r="D6" s="6" t="inlineStr">
        <is>
          <t>Prefiere</t>
        </is>
      </c>
      <c r="E6" s="6" t="inlineStr">
        <is>
          <t>Valor (1-9)</t>
        </is>
      </c>
      <c r="F6" s="6" t="inlineStr">
        <is>
          <t>a(i,j)</t>
        </is>
      </c>
      <c r="G6" s="6" t="inlineStr">
        <is>
          <t>Lectura</t>
        </is>
      </c>
    </row>
    <row r="7">
      <c r="A7" s="7" t="n">
        <v>1</v>
      </c>
      <c r="B7" s="9">
        <f>Inicio!$A$16&amp;": "&amp;Inicio!$B$16</f>
        <v/>
      </c>
      <c r="C7" s="9">
        <f>Inicio!$A$17&amp;": "&amp;Inicio!$B$17</f>
        <v/>
      </c>
      <c r="D7" s="10" t="inlineStr">
        <is>
          <t>Derecha</t>
        </is>
      </c>
      <c r="E7" s="10" t="n">
        <v>4</v>
      </c>
      <c r="F7" s="12">
        <f>IF(D7="Izquierda",E7,IF(D7="Derecha",1/E7,1))</f>
        <v/>
      </c>
      <c r="G7" s="14">
        <f>IF(D7="Igual",B7&amp;" = "&amp;C7,IF(D7="Izquierda",B7&amp;" &gt; "&amp;C7&amp;" (x"&amp;E7&amp;")",C7&amp;" &gt; "&amp;B7&amp;" (x"&amp;E7&amp;")"))</f>
        <v/>
      </c>
    </row>
    <row r="8">
      <c r="A8" s="7" t="n">
        <v>2</v>
      </c>
      <c r="B8" s="9">
        <f>Inicio!$A$16&amp;": "&amp;Inicio!$B$16</f>
        <v/>
      </c>
      <c r="C8" s="9">
        <f>Inicio!$A$18&amp;": "&amp;Inicio!$B$18</f>
        <v/>
      </c>
      <c r="D8" s="10" t="inlineStr">
        <is>
          <t>Derecha</t>
        </is>
      </c>
      <c r="E8" s="10" t="n">
        <v>4</v>
      </c>
      <c r="F8" s="12">
        <f>IF(D8="Izquierda",E8,IF(D8="Derecha",1/E8,1))</f>
        <v/>
      </c>
      <c r="G8" s="14">
        <f>IF(D8="Igual",B8&amp;" = "&amp;C8,IF(D8="Izquierda",B8&amp;" &gt; "&amp;C8&amp;" (x"&amp;E8&amp;")",C8&amp;" &gt; "&amp;B8&amp;" (x"&amp;E8&amp;")"))</f>
        <v/>
      </c>
    </row>
    <row r="9">
      <c r="A9" s="7" t="n">
        <v>3</v>
      </c>
      <c r="B9" s="9">
        <f>Inicio!$A$17&amp;": "&amp;Inicio!$B$17</f>
        <v/>
      </c>
      <c r="C9" s="9">
        <f>Inicio!$A$18&amp;": "&amp;Inicio!$B$18</f>
        <v/>
      </c>
      <c r="D9" s="10" t="inlineStr">
        <is>
          <t>Igual</t>
        </is>
      </c>
      <c r="E9" s="10" t="n">
        <v>1</v>
      </c>
      <c r="F9" s="12">
        <f>IF(D9="Izquierda",E9,IF(D9="Derecha",1/E9,1))</f>
        <v/>
      </c>
      <c r="G9" s="14">
        <f>IF(D9="Igual",B9&amp;" = "&amp;C9,IF(D9="Izquierda",B9&amp;" &gt; "&amp;C9&amp;" (x"&amp;E9&amp;")",C9&amp;" &gt; "&amp;B9&amp;" (x"&amp;E9&amp;")"))</f>
        <v/>
      </c>
    </row>
    <row r="11">
      <c r="A11" s="24" t="inlineStr">
        <is>
          <t>2. Matriz de comparación y prioridades</t>
        </is>
      </c>
    </row>
    <row r="12">
      <c r="A12" s="6" t="n"/>
      <c r="B12" s="6">
        <f>Inicio!$A$16</f>
        <v/>
      </c>
      <c r="C12" s="6">
        <f>Inicio!$A$17</f>
        <v/>
      </c>
      <c r="D12" s="6">
        <f>Inicio!$A$18</f>
        <v/>
      </c>
      <c r="E12" s="6" t="inlineStr">
        <is>
          <t>Prioridad</t>
        </is>
      </c>
      <c r="F12" s="6" t="inlineStr">
        <is>
          <t>Posición</t>
        </is>
      </c>
    </row>
    <row r="13">
      <c r="A13" s="16">
        <f>Inicio!$A$16</f>
        <v/>
      </c>
      <c r="B13" s="12" t="n">
        <v>1</v>
      </c>
      <c r="C13" s="12">
        <f>F7</f>
        <v/>
      </c>
      <c r="D13" s="12">
        <f>F8</f>
        <v/>
      </c>
      <c r="E13" s="17">
        <f>B53</f>
        <v/>
      </c>
      <c r="F13" s="7">
        <f>RANK(E13,$E$13:$E$15)</f>
        <v/>
      </c>
    </row>
    <row r="14">
      <c r="A14" s="16">
        <f>Inicio!$A$17</f>
        <v/>
      </c>
      <c r="B14" s="12">
        <f>1/C13</f>
        <v/>
      </c>
      <c r="C14" s="12" t="n">
        <v>1</v>
      </c>
      <c r="D14" s="12">
        <f>F9</f>
        <v/>
      </c>
      <c r="E14" s="17">
        <f>C53</f>
        <v/>
      </c>
      <c r="F14" s="7">
        <f>RANK(E14,$E$13:$E$15)</f>
        <v/>
      </c>
    </row>
    <row r="15">
      <c r="A15" s="16">
        <f>Inicio!$A$18</f>
        <v/>
      </c>
      <c r="B15" s="12">
        <f>1/D13</f>
        <v/>
      </c>
      <c r="C15" s="12">
        <f>1/D14</f>
        <v/>
      </c>
      <c r="D15" s="12" t="n">
        <v>1</v>
      </c>
      <c r="E15" s="17">
        <f>D53</f>
        <v/>
      </c>
      <c r="F15" s="7">
        <f>RANK(E15,$E$13:$E$15)</f>
        <v/>
      </c>
    </row>
    <row r="16">
      <c r="A16" s="16" t="inlineStr">
        <is>
          <t>Suma columna</t>
        </is>
      </c>
      <c r="B16" s="18">
        <f>SUM(B13:B15)</f>
        <v/>
      </c>
      <c r="C16" s="18">
        <f>SUM(C13:C15)</f>
        <v/>
      </c>
      <c r="D16" s="18">
        <f>SUM(D13:D15)</f>
        <v/>
      </c>
    </row>
    <row r="18">
      <c r="A18" s="24" t="inlineStr">
        <is>
          <t>Consistencia</t>
        </is>
      </c>
    </row>
    <row r="19">
      <c r="A19" s="4" t="inlineStr">
        <is>
          <t>λ máx</t>
        </is>
      </c>
      <c r="B19" s="19">
        <f>SUMPRODUCT($B$16:$D$16,$B$53:$D$53)</f>
        <v/>
      </c>
    </row>
    <row r="20">
      <c r="A20" s="4" t="inlineStr">
        <is>
          <t>CI</t>
        </is>
      </c>
      <c r="B20" s="19">
        <f>(B19-3)/(3-1)</f>
        <v/>
      </c>
    </row>
    <row r="21" ht="15.75" customHeight="1" s="42">
      <c r="A21" s="4" t="inlineStr">
        <is>
          <t>RI</t>
        </is>
      </c>
      <c r="B21" s="20">
        <f t="array" ref="B21">INDEX(Inicio!$B$22:$B$26,3)</f>
        <v/>
      </c>
    </row>
    <row r="22" ht="15.75" customHeight="1" s="42">
      <c r="A22" s="4" t="inlineStr">
        <is>
          <t>CR</t>
        </is>
      </c>
      <c r="B22" s="21">
        <f>IF(B21=0,0,B20/B21)</f>
        <v/>
      </c>
    </row>
    <row r="23" ht="15.75" customHeight="1" s="42">
      <c r="A23" s="4" t="inlineStr">
        <is>
          <t>Estado</t>
        </is>
      </c>
      <c r="B23" s="22">
        <f>IF(B22&lt;0.1,"OK (CR &lt; 10 %)","REVISAR: CR ≥ 10 %")</f>
        <v/>
      </c>
    </row>
    <row r="24" ht="15.75" customHeight="1" s="42"/>
    <row r="25" ht="15.75" customHeight="1" s="42"/>
    <row r="26" ht="15.75" customHeight="1" s="42">
      <c r="A26" s="24" t="inlineStr">
        <is>
          <t>3. Cálculo del vector propio (método de las potencias, 25 iteraciones)</t>
        </is>
      </c>
    </row>
    <row r="27" ht="15.75" customHeight="1" s="42">
      <c r="A27" s="6" t="inlineStr">
        <is>
          <t>Iteración</t>
        </is>
      </c>
      <c r="B27" s="6">
        <f>Inicio!$A$16</f>
        <v/>
      </c>
      <c r="C27" s="6">
        <f>Inicio!$A$17</f>
        <v/>
      </c>
      <c r="D27" s="6">
        <f>Inicio!$A$18</f>
        <v/>
      </c>
    </row>
    <row r="28" ht="15.75" customHeight="1" s="42">
      <c r="A28" s="7" t="n">
        <v>0</v>
      </c>
      <c r="B28" s="23">
        <f>1/3</f>
        <v/>
      </c>
      <c r="C28" s="23">
        <f>1/3</f>
        <v/>
      </c>
      <c r="D28" s="23">
        <f>1/3</f>
        <v/>
      </c>
    </row>
    <row r="29" ht="15.75" customHeight="1" s="42">
      <c r="A29" s="7" t="n">
        <v>1</v>
      </c>
      <c r="B29" s="23">
        <f>SUMPRODUCT($B$13:$D$13,$B28:$D28)/SUMPRODUCT($B$16:$D$16,$B28:$D28)</f>
        <v/>
      </c>
      <c r="C29" s="23">
        <f>SUMPRODUCT($B$14:$D$14,$B28:$D28)/SUMPRODUCT($B$16:$D$16,$B28:$D28)</f>
        <v/>
      </c>
      <c r="D29" s="23">
        <f>SUMPRODUCT($B$15:$D$15,$B28:$D28)/SUMPRODUCT($B$16:$D$16,$B28:$D28)</f>
        <v/>
      </c>
    </row>
    <row r="30" ht="15.75" customHeight="1" s="42">
      <c r="A30" s="7" t="n">
        <v>2</v>
      </c>
      <c r="B30" s="23">
        <f>SUMPRODUCT($B$13:$D$13,$B29:$D29)/SUMPRODUCT($B$16:$D$16,$B29:$D29)</f>
        <v/>
      </c>
      <c r="C30" s="23">
        <f>SUMPRODUCT($B$14:$D$14,$B29:$D29)/SUMPRODUCT($B$16:$D$16,$B29:$D29)</f>
        <v/>
      </c>
      <c r="D30" s="23">
        <f>SUMPRODUCT($B$15:$D$15,$B29:$D29)/SUMPRODUCT($B$16:$D$16,$B29:$D29)</f>
        <v/>
      </c>
    </row>
    <row r="31" ht="15.75" customHeight="1" s="42">
      <c r="A31" s="7" t="n">
        <v>3</v>
      </c>
      <c r="B31" s="23">
        <f>SUMPRODUCT($B$13:$D$13,$B30:$D30)/SUMPRODUCT($B$16:$D$16,$B30:$D30)</f>
        <v/>
      </c>
      <c r="C31" s="23">
        <f>SUMPRODUCT($B$14:$D$14,$B30:$D30)/SUMPRODUCT($B$16:$D$16,$B30:$D30)</f>
        <v/>
      </c>
      <c r="D31" s="23">
        <f>SUMPRODUCT($B$15:$D$15,$B30:$D30)/SUMPRODUCT($B$16:$D$16,$B30:$D30)</f>
        <v/>
      </c>
    </row>
    <row r="32" ht="15.75" customHeight="1" s="42">
      <c r="A32" s="7" t="n">
        <v>4</v>
      </c>
      <c r="B32" s="23">
        <f>SUMPRODUCT($B$13:$D$13,$B31:$D31)/SUMPRODUCT($B$16:$D$16,$B31:$D31)</f>
        <v/>
      </c>
      <c r="C32" s="23">
        <f>SUMPRODUCT($B$14:$D$14,$B31:$D31)/SUMPRODUCT($B$16:$D$16,$B31:$D31)</f>
        <v/>
      </c>
      <c r="D32" s="23">
        <f>SUMPRODUCT($B$15:$D$15,$B31:$D31)/SUMPRODUCT($B$16:$D$16,$B31:$D31)</f>
        <v/>
      </c>
    </row>
    <row r="33" ht="15.75" customHeight="1" s="42">
      <c r="A33" s="7" t="n">
        <v>5</v>
      </c>
      <c r="B33" s="23">
        <f>SUMPRODUCT($B$13:$D$13,$B32:$D32)/SUMPRODUCT($B$16:$D$16,$B32:$D32)</f>
        <v/>
      </c>
      <c r="C33" s="23">
        <f>SUMPRODUCT($B$14:$D$14,$B32:$D32)/SUMPRODUCT($B$16:$D$16,$B32:$D32)</f>
        <v/>
      </c>
      <c r="D33" s="23">
        <f>SUMPRODUCT($B$15:$D$15,$B32:$D32)/SUMPRODUCT($B$16:$D$16,$B32:$D32)</f>
        <v/>
      </c>
    </row>
    <row r="34" ht="15.75" customHeight="1" s="42">
      <c r="A34" s="7" t="n">
        <v>6</v>
      </c>
      <c r="B34" s="23">
        <f>SUMPRODUCT($B$13:$D$13,$B33:$D33)/SUMPRODUCT($B$16:$D$16,$B33:$D33)</f>
        <v/>
      </c>
      <c r="C34" s="23">
        <f>SUMPRODUCT($B$14:$D$14,$B33:$D33)/SUMPRODUCT($B$16:$D$16,$B33:$D33)</f>
        <v/>
      </c>
      <c r="D34" s="23">
        <f>SUMPRODUCT($B$15:$D$15,$B33:$D33)/SUMPRODUCT($B$16:$D$16,$B33:$D33)</f>
        <v/>
      </c>
    </row>
    <row r="35" ht="15.75" customHeight="1" s="42">
      <c r="A35" s="7" t="n">
        <v>7</v>
      </c>
      <c r="B35" s="23">
        <f>SUMPRODUCT($B$13:$D$13,$B34:$D34)/SUMPRODUCT($B$16:$D$16,$B34:$D34)</f>
        <v/>
      </c>
      <c r="C35" s="23">
        <f>SUMPRODUCT($B$14:$D$14,$B34:$D34)/SUMPRODUCT($B$16:$D$16,$B34:$D34)</f>
        <v/>
      </c>
      <c r="D35" s="23">
        <f>SUMPRODUCT($B$15:$D$15,$B34:$D34)/SUMPRODUCT($B$16:$D$16,$B34:$D34)</f>
        <v/>
      </c>
    </row>
    <row r="36" ht="15.75" customHeight="1" s="42">
      <c r="A36" s="7" t="n">
        <v>8</v>
      </c>
      <c r="B36" s="23">
        <f>SUMPRODUCT($B$13:$D$13,$B35:$D35)/SUMPRODUCT($B$16:$D$16,$B35:$D35)</f>
        <v/>
      </c>
      <c r="C36" s="23">
        <f>SUMPRODUCT($B$14:$D$14,$B35:$D35)/SUMPRODUCT($B$16:$D$16,$B35:$D35)</f>
        <v/>
      </c>
      <c r="D36" s="23">
        <f>SUMPRODUCT($B$15:$D$15,$B35:$D35)/SUMPRODUCT($B$16:$D$16,$B35:$D35)</f>
        <v/>
      </c>
    </row>
    <row r="37" ht="15.75" customHeight="1" s="42">
      <c r="A37" s="7" t="n">
        <v>9</v>
      </c>
      <c r="B37" s="23">
        <f>SUMPRODUCT($B$13:$D$13,$B36:$D36)/SUMPRODUCT($B$16:$D$16,$B36:$D36)</f>
        <v/>
      </c>
      <c r="C37" s="23">
        <f>SUMPRODUCT($B$14:$D$14,$B36:$D36)/SUMPRODUCT($B$16:$D$16,$B36:$D36)</f>
        <v/>
      </c>
      <c r="D37" s="23">
        <f>SUMPRODUCT($B$15:$D$15,$B36:$D36)/SUMPRODUCT($B$16:$D$16,$B36:$D36)</f>
        <v/>
      </c>
    </row>
    <row r="38" ht="15.75" customHeight="1" s="42">
      <c r="A38" s="7" t="n">
        <v>10</v>
      </c>
      <c r="B38" s="23">
        <f>SUMPRODUCT($B$13:$D$13,$B37:$D37)/SUMPRODUCT($B$16:$D$16,$B37:$D37)</f>
        <v/>
      </c>
      <c r="C38" s="23">
        <f>SUMPRODUCT($B$14:$D$14,$B37:$D37)/SUMPRODUCT($B$16:$D$16,$B37:$D37)</f>
        <v/>
      </c>
      <c r="D38" s="23">
        <f>SUMPRODUCT($B$15:$D$15,$B37:$D37)/SUMPRODUCT($B$16:$D$16,$B37:$D37)</f>
        <v/>
      </c>
    </row>
    <row r="39" ht="15.75" customHeight="1" s="42">
      <c r="A39" s="7" t="n">
        <v>11</v>
      </c>
      <c r="B39" s="23">
        <f>SUMPRODUCT($B$13:$D$13,$B38:$D38)/SUMPRODUCT($B$16:$D$16,$B38:$D38)</f>
        <v/>
      </c>
      <c r="C39" s="23">
        <f>SUMPRODUCT($B$14:$D$14,$B38:$D38)/SUMPRODUCT($B$16:$D$16,$B38:$D38)</f>
        <v/>
      </c>
      <c r="D39" s="23">
        <f>SUMPRODUCT($B$15:$D$15,$B38:$D38)/SUMPRODUCT($B$16:$D$16,$B38:$D38)</f>
        <v/>
      </c>
    </row>
    <row r="40" ht="15.75" customHeight="1" s="42">
      <c r="A40" s="7" t="n">
        <v>12</v>
      </c>
      <c r="B40" s="23">
        <f>SUMPRODUCT($B$13:$D$13,$B39:$D39)/SUMPRODUCT($B$16:$D$16,$B39:$D39)</f>
        <v/>
      </c>
      <c r="C40" s="23">
        <f>SUMPRODUCT($B$14:$D$14,$B39:$D39)/SUMPRODUCT($B$16:$D$16,$B39:$D39)</f>
        <v/>
      </c>
      <c r="D40" s="23">
        <f>SUMPRODUCT($B$15:$D$15,$B39:$D39)/SUMPRODUCT($B$16:$D$16,$B39:$D39)</f>
        <v/>
      </c>
    </row>
    <row r="41" ht="15.75" customHeight="1" s="42">
      <c r="A41" s="7" t="n">
        <v>13</v>
      </c>
      <c r="B41" s="23">
        <f>SUMPRODUCT($B$13:$D$13,$B40:$D40)/SUMPRODUCT($B$16:$D$16,$B40:$D40)</f>
        <v/>
      </c>
      <c r="C41" s="23">
        <f>SUMPRODUCT($B$14:$D$14,$B40:$D40)/SUMPRODUCT($B$16:$D$16,$B40:$D40)</f>
        <v/>
      </c>
      <c r="D41" s="23">
        <f>SUMPRODUCT($B$15:$D$15,$B40:$D40)/SUMPRODUCT($B$16:$D$16,$B40:$D40)</f>
        <v/>
      </c>
    </row>
    <row r="42" ht="15.75" customHeight="1" s="42">
      <c r="A42" s="7" t="n">
        <v>14</v>
      </c>
      <c r="B42" s="23">
        <f>SUMPRODUCT($B$13:$D$13,$B41:$D41)/SUMPRODUCT($B$16:$D$16,$B41:$D41)</f>
        <v/>
      </c>
      <c r="C42" s="23">
        <f>SUMPRODUCT($B$14:$D$14,$B41:$D41)/SUMPRODUCT($B$16:$D$16,$B41:$D41)</f>
        <v/>
      </c>
      <c r="D42" s="23">
        <f>SUMPRODUCT($B$15:$D$15,$B41:$D41)/SUMPRODUCT($B$16:$D$16,$B41:$D41)</f>
        <v/>
      </c>
    </row>
    <row r="43" ht="15.75" customHeight="1" s="42">
      <c r="A43" s="7" t="n">
        <v>15</v>
      </c>
      <c r="B43" s="23">
        <f>SUMPRODUCT($B$13:$D$13,$B42:$D42)/SUMPRODUCT($B$16:$D$16,$B42:$D42)</f>
        <v/>
      </c>
      <c r="C43" s="23">
        <f>SUMPRODUCT($B$14:$D$14,$B42:$D42)/SUMPRODUCT($B$16:$D$16,$B42:$D42)</f>
        <v/>
      </c>
      <c r="D43" s="23">
        <f>SUMPRODUCT($B$15:$D$15,$B42:$D42)/SUMPRODUCT($B$16:$D$16,$B42:$D42)</f>
        <v/>
      </c>
    </row>
    <row r="44" ht="15.75" customHeight="1" s="42">
      <c r="A44" s="7" t="n">
        <v>16</v>
      </c>
      <c r="B44" s="23">
        <f>SUMPRODUCT($B$13:$D$13,$B43:$D43)/SUMPRODUCT($B$16:$D$16,$B43:$D43)</f>
        <v/>
      </c>
      <c r="C44" s="23">
        <f>SUMPRODUCT($B$14:$D$14,$B43:$D43)/SUMPRODUCT($B$16:$D$16,$B43:$D43)</f>
        <v/>
      </c>
      <c r="D44" s="23">
        <f>SUMPRODUCT($B$15:$D$15,$B43:$D43)/SUMPRODUCT($B$16:$D$16,$B43:$D43)</f>
        <v/>
      </c>
    </row>
    <row r="45" ht="15.75" customHeight="1" s="42">
      <c r="A45" s="7" t="n">
        <v>17</v>
      </c>
      <c r="B45" s="23">
        <f>SUMPRODUCT($B$13:$D$13,$B44:$D44)/SUMPRODUCT($B$16:$D$16,$B44:$D44)</f>
        <v/>
      </c>
      <c r="C45" s="23">
        <f>SUMPRODUCT($B$14:$D$14,$B44:$D44)/SUMPRODUCT($B$16:$D$16,$B44:$D44)</f>
        <v/>
      </c>
      <c r="D45" s="23">
        <f>SUMPRODUCT($B$15:$D$15,$B44:$D44)/SUMPRODUCT($B$16:$D$16,$B44:$D44)</f>
        <v/>
      </c>
    </row>
    <row r="46" ht="15.75" customHeight="1" s="42">
      <c r="A46" s="7" t="n">
        <v>18</v>
      </c>
      <c r="B46" s="23">
        <f>SUMPRODUCT($B$13:$D$13,$B45:$D45)/SUMPRODUCT($B$16:$D$16,$B45:$D45)</f>
        <v/>
      </c>
      <c r="C46" s="23">
        <f>SUMPRODUCT($B$14:$D$14,$B45:$D45)/SUMPRODUCT($B$16:$D$16,$B45:$D45)</f>
        <v/>
      </c>
      <c r="D46" s="23">
        <f>SUMPRODUCT($B$15:$D$15,$B45:$D45)/SUMPRODUCT($B$16:$D$16,$B45:$D45)</f>
        <v/>
      </c>
    </row>
    <row r="47" ht="15.75" customHeight="1" s="42">
      <c r="A47" s="7" t="n">
        <v>19</v>
      </c>
      <c r="B47" s="23">
        <f>SUMPRODUCT($B$13:$D$13,$B46:$D46)/SUMPRODUCT($B$16:$D$16,$B46:$D46)</f>
        <v/>
      </c>
      <c r="C47" s="23">
        <f>SUMPRODUCT($B$14:$D$14,$B46:$D46)/SUMPRODUCT($B$16:$D$16,$B46:$D46)</f>
        <v/>
      </c>
      <c r="D47" s="23">
        <f>SUMPRODUCT($B$15:$D$15,$B46:$D46)/SUMPRODUCT($B$16:$D$16,$B46:$D46)</f>
        <v/>
      </c>
    </row>
    <row r="48" ht="15.75" customHeight="1" s="42">
      <c r="A48" s="7" t="n">
        <v>20</v>
      </c>
      <c r="B48" s="23">
        <f>SUMPRODUCT($B$13:$D$13,$B47:$D47)/SUMPRODUCT($B$16:$D$16,$B47:$D47)</f>
        <v/>
      </c>
      <c r="C48" s="23">
        <f>SUMPRODUCT($B$14:$D$14,$B47:$D47)/SUMPRODUCT($B$16:$D$16,$B47:$D47)</f>
        <v/>
      </c>
      <c r="D48" s="23">
        <f>SUMPRODUCT($B$15:$D$15,$B47:$D47)/SUMPRODUCT($B$16:$D$16,$B47:$D47)</f>
        <v/>
      </c>
    </row>
    <row r="49" ht="15.75" customHeight="1" s="42">
      <c r="A49" s="7" t="n">
        <v>21</v>
      </c>
      <c r="B49" s="23">
        <f>SUMPRODUCT($B$13:$D$13,$B48:$D48)/SUMPRODUCT($B$16:$D$16,$B48:$D48)</f>
        <v/>
      </c>
      <c r="C49" s="23">
        <f>SUMPRODUCT($B$14:$D$14,$B48:$D48)/SUMPRODUCT($B$16:$D$16,$B48:$D48)</f>
        <v/>
      </c>
      <c r="D49" s="23">
        <f>SUMPRODUCT($B$15:$D$15,$B48:$D48)/SUMPRODUCT($B$16:$D$16,$B48:$D48)</f>
        <v/>
      </c>
    </row>
    <row r="50" ht="15.75" customHeight="1" s="42">
      <c r="A50" s="7" t="n">
        <v>22</v>
      </c>
      <c r="B50" s="23">
        <f>SUMPRODUCT($B$13:$D$13,$B49:$D49)/SUMPRODUCT($B$16:$D$16,$B49:$D49)</f>
        <v/>
      </c>
      <c r="C50" s="23">
        <f>SUMPRODUCT($B$14:$D$14,$B49:$D49)/SUMPRODUCT($B$16:$D$16,$B49:$D49)</f>
        <v/>
      </c>
      <c r="D50" s="23">
        <f>SUMPRODUCT($B$15:$D$15,$B49:$D49)/SUMPRODUCT($B$16:$D$16,$B49:$D49)</f>
        <v/>
      </c>
    </row>
    <row r="51" ht="15.75" customHeight="1" s="42">
      <c r="A51" s="7" t="n">
        <v>23</v>
      </c>
      <c r="B51" s="23">
        <f>SUMPRODUCT($B$13:$D$13,$B50:$D50)/SUMPRODUCT($B$16:$D$16,$B50:$D50)</f>
        <v/>
      </c>
      <c r="C51" s="23">
        <f>SUMPRODUCT($B$14:$D$14,$B50:$D50)/SUMPRODUCT($B$16:$D$16,$B50:$D50)</f>
        <v/>
      </c>
      <c r="D51" s="23">
        <f>SUMPRODUCT($B$15:$D$15,$B50:$D50)/SUMPRODUCT($B$16:$D$16,$B50:$D50)</f>
        <v/>
      </c>
    </row>
    <row r="52" ht="15.75" customHeight="1" s="42">
      <c r="A52" s="7" t="n">
        <v>24</v>
      </c>
      <c r="B52" s="23">
        <f>SUMPRODUCT($B$13:$D$13,$B51:$D51)/SUMPRODUCT($B$16:$D$16,$B51:$D51)</f>
        <v/>
      </c>
      <c r="C52" s="23">
        <f>SUMPRODUCT($B$14:$D$14,$B51:$D51)/SUMPRODUCT($B$16:$D$16,$B51:$D51)</f>
        <v/>
      </c>
      <c r="D52" s="23">
        <f>SUMPRODUCT($B$15:$D$15,$B51:$D51)/SUMPRODUCT($B$16:$D$16,$B51:$D51)</f>
        <v/>
      </c>
    </row>
    <row r="53" ht="15.75" customHeight="1" s="42">
      <c r="A53" s="7" t="n">
        <v>25</v>
      </c>
      <c r="B53" s="23">
        <f>SUMPRODUCT($B$13:$D$13,$B52:$D52)/SUMPRODUCT($B$16:$D$16,$B52:$D52)</f>
        <v/>
      </c>
      <c r="C53" s="23">
        <f>SUMPRODUCT($B$14:$D$14,$B52:$D52)/SUMPRODUCT($B$16:$D$16,$B52:$D52)</f>
        <v/>
      </c>
      <c r="D53" s="23">
        <f>SUMPRODUCT($B$15:$D$15,$B52:$D52)/SUMPRODUCT($B$16:$D$16,$B52:$D52)</f>
        <v/>
      </c>
    </row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conditionalFormatting sqref="B23">
    <cfRule type="expression" priority="1" dxfId="0">
      <formula>LEFT($B$23,2)="OK"</formula>
    </cfRule>
    <cfRule type="expression" priority="2" dxfId="1">
      <formula>LEFT($B$23,2)&lt;&gt;"OK"</formula>
    </cfRule>
  </conditionalFormatting>
  <dataValidations count="2">
    <dataValidation sqref="E7:E9" showDropDown="0" showInputMessage="0" showErrorMessage="0" allowBlank="0" type="decimal">
      <formula1>1.0</formula1>
      <formula2>9.0</formula2>
    </dataValidation>
    <dataValidation sqref="D7:D9" showDropDown="0" showInputMessage="0" showErrorMessage="0" allowBlank="0" type="list">
      <formula1>"Izquierda,Derecha,Igual"</formula1>
    </dataValidation>
  </dataValidations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42" min="1" max="1"/>
    <col width="32" customWidth="1" style="42" min="2" max="3"/>
    <col width="14" customWidth="1" style="42" min="4" max="4"/>
    <col width="12" customWidth="1" style="42" min="5" max="6"/>
    <col width="50" customWidth="1" style="42" min="7" max="7"/>
    <col width="8.710000000000001" customWidth="1" style="42" min="8" max="26"/>
  </cols>
  <sheetData>
    <row r="1">
      <c r="A1" s="1">
        <f>"Comparación por pares de las ALTERNATIVAS respecto al criterio: "&amp;Inicio!$B$12</f>
        <v/>
      </c>
    </row>
    <row r="2">
      <c r="A2" s="35" t="inlineStr">
        <is>
          <t>Elija en 'Prefiere' cuál es más importante (Izquierda / Derecha / Igual) y en 'Valor' cuánto más (1 a 9, escala de Saaty). Edite solo las celdas amarillas.</t>
        </is>
      </c>
    </row>
    <row r="3">
      <c r="A3" s="35" t="inlineStr">
        <is>
          <t>Escala: 1 igual · 3 moderada · 5 fuerte · 7 muy fuerte · 9 extrema (2, 4, 6, 8 intermedios).</t>
        </is>
      </c>
    </row>
    <row r="5">
      <c r="A5" s="24" t="inlineStr">
        <is>
          <t>1. Juicios de comparación por pares</t>
        </is>
      </c>
    </row>
    <row r="6">
      <c r="A6" s="6" t="inlineStr">
        <is>
          <t>N°</t>
        </is>
      </c>
      <c r="B6" s="6" t="inlineStr">
        <is>
          <t>Izquierda</t>
        </is>
      </c>
      <c r="C6" s="6" t="inlineStr">
        <is>
          <t>Derecha</t>
        </is>
      </c>
      <c r="D6" s="6" t="inlineStr">
        <is>
          <t>Prefiere</t>
        </is>
      </c>
      <c r="E6" s="6" t="inlineStr">
        <is>
          <t>Valor (1-9)</t>
        </is>
      </c>
      <c r="F6" s="6" t="inlineStr">
        <is>
          <t>a(i,j)</t>
        </is>
      </c>
      <c r="G6" s="6" t="inlineStr">
        <is>
          <t>Lectura</t>
        </is>
      </c>
    </row>
    <row r="7">
      <c r="A7" s="7" t="n">
        <v>1</v>
      </c>
      <c r="B7" s="9">
        <f>Inicio!$A$16&amp;": "&amp;Inicio!$B$16</f>
        <v/>
      </c>
      <c r="C7" s="9">
        <f>Inicio!$A$17&amp;": "&amp;Inicio!$B$17</f>
        <v/>
      </c>
      <c r="D7" s="10" t="inlineStr">
        <is>
          <t>Izquierda</t>
        </is>
      </c>
      <c r="E7" s="10" t="n">
        <v>3</v>
      </c>
      <c r="F7" s="12">
        <f>IF(D7="Izquierda",E7,IF(D7="Derecha",1/E7,1))</f>
        <v/>
      </c>
      <c r="G7" s="14">
        <f>IF(D7="Igual",B7&amp;" = "&amp;C7,IF(D7="Izquierda",B7&amp;" &gt; "&amp;C7&amp;" (x"&amp;E7&amp;")",C7&amp;" &gt; "&amp;B7&amp;" (x"&amp;E7&amp;")"))</f>
        <v/>
      </c>
    </row>
    <row r="8">
      <c r="A8" s="7" t="n">
        <v>2</v>
      </c>
      <c r="B8" s="9">
        <f>Inicio!$A$16&amp;": "&amp;Inicio!$B$16</f>
        <v/>
      </c>
      <c r="C8" s="9">
        <f>Inicio!$A$18&amp;": "&amp;Inicio!$B$18</f>
        <v/>
      </c>
      <c r="D8" s="10" t="inlineStr">
        <is>
          <t>Igual</t>
        </is>
      </c>
      <c r="E8" s="10" t="n">
        <v>1</v>
      </c>
      <c r="F8" s="12">
        <f>IF(D8="Izquierda",E8,IF(D8="Derecha",1/E8,1))</f>
        <v/>
      </c>
      <c r="G8" s="14">
        <f>IF(D8="Igual",B8&amp;" = "&amp;C8,IF(D8="Izquierda",B8&amp;" &gt; "&amp;C8&amp;" (x"&amp;E8&amp;")",C8&amp;" &gt; "&amp;B8&amp;" (x"&amp;E8&amp;")"))</f>
        <v/>
      </c>
    </row>
    <row r="9">
      <c r="A9" s="7" t="n">
        <v>3</v>
      </c>
      <c r="B9" s="9">
        <f>Inicio!$A$17&amp;": "&amp;Inicio!$B$17</f>
        <v/>
      </c>
      <c r="C9" s="9">
        <f>Inicio!$A$18&amp;": "&amp;Inicio!$B$18</f>
        <v/>
      </c>
      <c r="D9" s="10" t="inlineStr">
        <is>
          <t>Derecha</t>
        </is>
      </c>
      <c r="E9" s="10" t="n">
        <v>3</v>
      </c>
      <c r="F9" s="12">
        <f>IF(D9="Izquierda",E9,IF(D9="Derecha",1/E9,1))</f>
        <v/>
      </c>
      <c r="G9" s="14">
        <f>IF(D9="Igual",B9&amp;" = "&amp;C9,IF(D9="Izquierda",B9&amp;" &gt; "&amp;C9&amp;" (x"&amp;E9&amp;")",C9&amp;" &gt; "&amp;B9&amp;" (x"&amp;E9&amp;")"))</f>
        <v/>
      </c>
    </row>
    <row r="11">
      <c r="A11" s="24" t="inlineStr">
        <is>
          <t>2. Matriz de comparación y prioridades</t>
        </is>
      </c>
    </row>
    <row r="12">
      <c r="A12" s="6" t="n"/>
      <c r="B12" s="6">
        <f>Inicio!$A$16</f>
        <v/>
      </c>
      <c r="C12" s="6">
        <f>Inicio!$A$17</f>
        <v/>
      </c>
      <c r="D12" s="6">
        <f>Inicio!$A$18</f>
        <v/>
      </c>
      <c r="E12" s="6" t="inlineStr">
        <is>
          <t>Prioridad</t>
        </is>
      </c>
      <c r="F12" s="6" t="inlineStr">
        <is>
          <t>Posición</t>
        </is>
      </c>
    </row>
    <row r="13">
      <c r="A13" s="16">
        <f>Inicio!$A$16</f>
        <v/>
      </c>
      <c r="B13" s="12" t="n">
        <v>1</v>
      </c>
      <c r="C13" s="12">
        <f>F7</f>
        <v/>
      </c>
      <c r="D13" s="12">
        <f>F8</f>
        <v/>
      </c>
      <c r="E13" s="17">
        <f>B53</f>
        <v/>
      </c>
      <c r="F13" s="7">
        <f>RANK(E13,$E$13:$E$15)</f>
        <v/>
      </c>
    </row>
    <row r="14">
      <c r="A14" s="16">
        <f>Inicio!$A$17</f>
        <v/>
      </c>
      <c r="B14" s="12">
        <f>1/C13</f>
        <v/>
      </c>
      <c r="C14" s="12" t="n">
        <v>1</v>
      </c>
      <c r="D14" s="12">
        <f>F9</f>
        <v/>
      </c>
      <c r="E14" s="17">
        <f>C53</f>
        <v/>
      </c>
      <c r="F14" s="7">
        <f>RANK(E14,$E$13:$E$15)</f>
        <v/>
      </c>
    </row>
    <row r="15">
      <c r="A15" s="16">
        <f>Inicio!$A$18</f>
        <v/>
      </c>
      <c r="B15" s="12">
        <f>1/D13</f>
        <v/>
      </c>
      <c r="C15" s="12">
        <f>1/D14</f>
        <v/>
      </c>
      <c r="D15" s="12" t="n">
        <v>1</v>
      </c>
      <c r="E15" s="17">
        <f>D53</f>
        <v/>
      </c>
      <c r="F15" s="7">
        <f>RANK(E15,$E$13:$E$15)</f>
        <v/>
      </c>
    </row>
    <row r="16">
      <c r="A16" s="16" t="inlineStr">
        <is>
          <t>Suma columna</t>
        </is>
      </c>
      <c r="B16" s="18">
        <f>SUM(B13:B15)</f>
        <v/>
      </c>
      <c r="C16" s="18">
        <f>SUM(C13:C15)</f>
        <v/>
      </c>
      <c r="D16" s="18">
        <f>SUM(D13:D15)</f>
        <v/>
      </c>
    </row>
    <row r="18">
      <c r="A18" s="24" t="inlineStr">
        <is>
          <t>Consistencia</t>
        </is>
      </c>
    </row>
    <row r="19">
      <c r="A19" s="4" t="inlineStr">
        <is>
          <t>λ máx</t>
        </is>
      </c>
      <c r="B19" s="19">
        <f>SUMPRODUCT($B$16:$D$16,$B$53:$D$53)</f>
        <v/>
      </c>
    </row>
    <row r="20">
      <c r="A20" s="4" t="inlineStr">
        <is>
          <t>CI</t>
        </is>
      </c>
      <c r="B20" s="19">
        <f>(B19-3)/(3-1)</f>
        <v/>
      </c>
    </row>
    <row r="21" ht="15.75" customHeight="1" s="42">
      <c r="A21" s="4" t="inlineStr">
        <is>
          <t>RI</t>
        </is>
      </c>
      <c r="B21" s="20">
        <f t="array" ref="B21">INDEX(Inicio!$B$22:$B$26,3)</f>
        <v/>
      </c>
    </row>
    <row r="22" ht="15.75" customHeight="1" s="42">
      <c r="A22" s="4" t="inlineStr">
        <is>
          <t>CR</t>
        </is>
      </c>
      <c r="B22" s="21">
        <f>IF(B21=0,0,B20/B21)</f>
        <v/>
      </c>
    </row>
    <row r="23" ht="15.75" customHeight="1" s="42">
      <c r="A23" s="4" t="inlineStr">
        <is>
          <t>Estado</t>
        </is>
      </c>
      <c r="B23" s="22">
        <f>IF(B22&lt;0.1,"OK (CR &lt; 10 %)","REVISAR: CR ≥ 10 %")</f>
        <v/>
      </c>
    </row>
    <row r="24" ht="15.75" customHeight="1" s="42"/>
    <row r="25" ht="15.75" customHeight="1" s="42"/>
    <row r="26" ht="15.75" customHeight="1" s="42">
      <c r="A26" s="24" t="inlineStr">
        <is>
          <t>3. Cálculo del vector propio (método de las potencias, 25 iteraciones)</t>
        </is>
      </c>
    </row>
    <row r="27" ht="15.75" customHeight="1" s="42">
      <c r="A27" s="6" t="inlineStr">
        <is>
          <t>Iteración</t>
        </is>
      </c>
      <c r="B27" s="6">
        <f>Inicio!$A$16</f>
        <v/>
      </c>
      <c r="C27" s="6">
        <f>Inicio!$A$17</f>
        <v/>
      </c>
      <c r="D27" s="6">
        <f>Inicio!$A$18</f>
        <v/>
      </c>
    </row>
    <row r="28" ht="15.75" customHeight="1" s="42">
      <c r="A28" s="7" t="n">
        <v>0</v>
      </c>
      <c r="B28" s="23">
        <f>1/3</f>
        <v/>
      </c>
      <c r="C28" s="23">
        <f>1/3</f>
        <v/>
      </c>
      <c r="D28" s="23">
        <f>1/3</f>
        <v/>
      </c>
    </row>
    <row r="29" ht="15.75" customHeight="1" s="42">
      <c r="A29" s="7" t="n">
        <v>1</v>
      </c>
      <c r="B29" s="23">
        <f>SUMPRODUCT($B$13:$D$13,$B28:$D28)/SUMPRODUCT($B$16:$D$16,$B28:$D28)</f>
        <v/>
      </c>
      <c r="C29" s="23">
        <f>SUMPRODUCT($B$14:$D$14,$B28:$D28)/SUMPRODUCT($B$16:$D$16,$B28:$D28)</f>
        <v/>
      </c>
      <c r="D29" s="23">
        <f>SUMPRODUCT($B$15:$D$15,$B28:$D28)/SUMPRODUCT($B$16:$D$16,$B28:$D28)</f>
        <v/>
      </c>
    </row>
    <row r="30" ht="15.75" customHeight="1" s="42">
      <c r="A30" s="7" t="n">
        <v>2</v>
      </c>
      <c r="B30" s="23">
        <f>SUMPRODUCT($B$13:$D$13,$B29:$D29)/SUMPRODUCT($B$16:$D$16,$B29:$D29)</f>
        <v/>
      </c>
      <c r="C30" s="23">
        <f>SUMPRODUCT($B$14:$D$14,$B29:$D29)/SUMPRODUCT($B$16:$D$16,$B29:$D29)</f>
        <v/>
      </c>
      <c r="D30" s="23">
        <f>SUMPRODUCT($B$15:$D$15,$B29:$D29)/SUMPRODUCT($B$16:$D$16,$B29:$D29)</f>
        <v/>
      </c>
    </row>
    <row r="31" ht="15.75" customHeight="1" s="42">
      <c r="A31" s="7" t="n">
        <v>3</v>
      </c>
      <c r="B31" s="23">
        <f>SUMPRODUCT($B$13:$D$13,$B30:$D30)/SUMPRODUCT($B$16:$D$16,$B30:$D30)</f>
        <v/>
      </c>
      <c r="C31" s="23">
        <f>SUMPRODUCT($B$14:$D$14,$B30:$D30)/SUMPRODUCT($B$16:$D$16,$B30:$D30)</f>
        <v/>
      </c>
      <c r="D31" s="23">
        <f>SUMPRODUCT($B$15:$D$15,$B30:$D30)/SUMPRODUCT($B$16:$D$16,$B30:$D30)</f>
        <v/>
      </c>
    </row>
    <row r="32" ht="15.75" customHeight="1" s="42">
      <c r="A32" s="7" t="n">
        <v>4</v>
      </c>
      <c r="B32" s="23">
        <f>SUMPRODUCT($B$13:$D$13,$B31:$D31)/SUMPRODUCT($B$16:$D$16,$B31:$D31)</f>
        <v/>
      </c>
      <c r="C32" s="23">
        <f>SUMPRODUCT($B$14:$D$14,$B31:$D31)/SUMPRODUCT($B$16:$D$16,$B31:$D31)</f>
        <v/>
      </c>
      <c r="D32" s="23">
        <f>SUMPRODUCT($B$15:$D$15,$B31:$D31)/SUMPRODUCT($B$16:$D$16,$B31:$D31)</f>
        <v/>
      </c>
    </row>
    <row r="33" ht="15.75" customHeight="1" s="42">
      <c r="A33" s="7" t="n">
        <v>5</v>
      </c>
      <c r="B33" s="23">
        <f>SUMPRODUCT($B$13:$D$13,$B32:$D32)/SUMPRODUCT($B$16:$D$16,$B32:$D32)</f>
        <v/>
      </c>
      <c r="C33" s="23">
        <f>SUMPRODUCT($B$14:$D$14,$B32:$D32)/SUMPRODUCT($B$16:$D$16,$B32:$D32)</f>
        <v/>
      </c>
      <c r="D33" s="23">
        <f>SUMPRODUCT($B$15:$D$15,$B32:$D32)/SUMPRODUCT($B$16:$D$16,$B32:$D32)</f>
        <v/>
      </c>
    </row>
    <row r="34" ht="15.75" customHeight="1" s="42">
      <c r="A34" s="7" t="n">
        <v>6</v>
      </c>
      <c r="B34" s="23">
        <f>SUMPRODUCT($B$13:$D$13,$B33:$D33)/SUMPRODUCT($B$16:$D$16,$B33:$D33)</f>
        <v/>
      </c>
      <c r="C34" s="23">
        <f>SUMPRODUCT($B$14:$D$14,$B33:$D33)/SUMPRODUCT($B$16:$D$16,$B33:$D33)</f>
        <v/>
      </c>
      <c r="D34" s="23">
        <f>SUMPRODUCT($B$15:$D$15,$B33:$D33)/SUMPRODUCT($B$16:$D$16,$B33:$D33)</f>
        <v/>
      </c>
    </row>
    <row r="35" ht="15.75" customHeight="1" s="42">
      <c r="A35" s="7" t="n">
        <v>7</v>
      </c>
      <c r="B35" s="23">
        <f>SUMPRODUCT($B$13:$D$13,$B34:$D34)/SUMPRODUCT($B$16:$D$16,$B34:$D34)</f>
        <v/>
      </c>
      <c r="C35" s="23">
        <f>SUMPRODUCT($B$14:$D$14,$B34:$D34)/SUMPRODUCT($B$16:$D$16,$B34:$D34)</f>
        <v/>
      </c>
      <c r="D35" s="23">
        <f>SUMPRODUCT($B$15:$D$15,$B34:$D34)/SUMPRODUCT($B$16:$D$16,$B34:$D34)</f>
        <v/>
      </c>
    </row>
    <row r="36" ht="15.75" customHeight="1" s="42">
      <c r="A36" s="7" t="n">
        <v>8</v>
      </c>
      <c r="B36" s="23">
        <f>SUMPRODUCT($B$13:$D$13,$B35:$D35)/SUMPRODUCT($B$16:$D$16,$B35:$D35)</f>
        <v/>
      </c>
      <c r="C36" s="23">
        <f>SUMPRODUCT($B$14:$D$14,$B35:$D35)/SUMPRODUCT($B$16:$D$16,$B35:$D35)</f>
        <v/>
      </c>
      <c r="D36" s="23">
        <f>SUMPRODUCT($B$15:$D$15,$B35:$D35)/SUMPRODUCT($B$16:$D$16,$B35:$D35)</f>
        <v/>
      </c>
    </row>
    <row r="37" ht="15.75" customHeight="1" s="42">
      <c r="A37" s="7" t="n">
        <v>9</v>
      </c>
      <c r="B37" s="23">
        <f>SUMPRODUCT($B$13:$D$13,$B36:$D36)/SUMPRODUCT($B$16:$D$16,$B36:$D36)</f>
        <v/>
      </c>
      <c r="C37" s="23">
        <f>SUMPRODUCT($B$14:$D$14,$B36:$D36)/SUMPRODUCT($B$16:$D$16,$B36:$D36)</f>
        <v/>
      </c>
      <c r="D37" s="23">
        <f>SUMPRODUCT($B$15:$D$15,$B36:$D36)/SUMPRODUCT($B$16:$D$16,$B36:$D36)</f>
        <v/>
      </c>
    </row>
    <row r="38" ht="15.75" customHeight="1" s="42">
      <c r="A38" s="7" t="n">
        <v>10</v>
      </c>
      <c r="B38" s="23">
        <f>SUMPRODUCT($B$13:$D$13,$B37:$D37)/SUMPRODUCT($B$16:$D$16,$B37:$D37)</f>
        <v/>
      </c>
      <c r="C38" s="23">
        <f>SUMPRODUCT($B$14:$D$14,$B37:$D37)/SUMPRODUCT($B$16:$D$16,$B37:$D37)</f>
        <v/>
      </c>
      <c r="D38" s="23">
        <f>SUMPRODUCT($B$15:$D$15,$B37:$D37)/SUMPRODUCT($B$16:$D$16,$B37:$D37)</f>
        <v/>
      </c>
    </row>
    <row r="39" ht="15.75" customHeight="1" s="42">
      <c r="A39" s="7" t="n">
        <v>11</v>
      </c>
      <c r="B39" s="23">
        <f>SUMPRODUCT($B$13:$D$13,$B38:$D38)/SUMPRODUCT($B$16:$D$16,$B38:$D38)</f>
        <v/>
      </c>
      <c r="C39" s="23">
        <f>SUMPRODUCT($B$14:$D$14,$B38:$D38)/SUMPRODUCT($B$16:$D$16,$B38:$D38)</f>
        <v/>
      </c>
      <c r="D39" s="23">
        <f>SUMPRODUCT($B$15:$D$15,$B38:$D38)/SUMPRODUCT($B$16:$D$16,$B38:$D38)</f>
        <v/>
      </c>
    </row>
    <row r="40" ht="15.75" customHeight="1" s="42">
      <c r="A40" s="7" t="n">
        <v>12</v>
      </c>
      <c r="B40" s="23">
        <f>SUMPRODUCT($B$13:$D$13,$B39:$D39)/SUMPRODUCT($B$16:$D$16,$B39:$D39)</f>
        <v/>
      </c>
      <c r="C40" s="23">
        <f>SUMPRODUCT($B$14:$D$14,$B39:$D39)/SUMPRODUCT($B$16:$D$16,$B39:$D39)</f>
        <v/>
      </c>
      <c r="D40" s="23">
        <f>SUMPRODUCT($B$15:$D$15,$B39:$D39)/SUMPRODUCT($B$16:$D$16,$B39:$D39)</f>
        <v/>
      </c>
    </row>
    <row r="41" ht="15.75" customHeight="1" s="42">
      <c r="A41" s="7" t="n">
        <v>13</v>
      </c>
      <c r="B41" s="23">
        <f>SUMPRODUCT($B$13:$D$13,$B40:$D40)/SUMPRODUCT($B$16:$D$16,$B40:$D40)</f>
        <v/>
      </c>
      <c r="C41" s="23">
        <f>SUMPRODUCT($B$14:$D$14,$B40:$D40)/SUMPRODUCT($B$16:$D$16,$B40:$D40)</f>
        <v/>
      </c>
      <c r="D41" s="23">
        <f>SUMPRODUCT($B$15:$D$15,$B40:$D40)/SUMPRODUCT($B$16:$D$16,$B40:$D40)</f>
        <v/>
      </c>
    </row>
    <row r="42" ht="15.75" customHeight="1" s="42">
      <c r="A42" s="7" t="n">
        <v>14</v>
      </c>
      <c r="B42" s="23">
        <f>SUMPRODUCT($B$13:$D$13,$B41:$D41)/SUMPRODUCT($B$16:$D$16,$B41:$D41)</f>
        <v/>
      </c>
      <c r="C42" s="23">
        <f>SUMPRODUCT($B$14:$D$14,$B41:$D41)/SUMPRODUCT($B$16:$D$16,$B41:$D41)</f>
        <v/>
      </c>
      <c r="D42" s="23">
        <f>SUMPRODUCT($B$15:$D$15,$B41:$D41)/SUMPRODUCT($B$16:$D$16,$B41:$D41)</f>
        <v/>
      </c>
    </row>
    <row r="43" ht="15.75" customHeight="1" s="42">
      <c r="A43" s="7" t="n">
        <v>15</v>
      </c>
      <c r="B43" s="23">
        <f>SUMPRODUCT($B$13:$D$13,$B42:$D42)/SUMPRODUCT($B$16:$D$16,$B42:$D42)</f>
        <v/>
      </c>
      <c r="C43" s="23">
        <f>SUMPRODUCT($B$14:$D$14,$B42:$D42)/SUMPRODUCT($B$16:$D$16,$B42:$D42)</f>
        <v/>
      </c>
      <c r="D43" s="23">
        <f>SUMPRODUCT($B$15:$D$15,$B42:$D42)/SUMPRODUCT($B$16:$D$16,$B42:$D42)</f>
        <v/>
      </c>
    </row>
    <row r="44" ht="15.75" customHeight="1" s="42">
      <c r="A44" s="7" t="n">
        <v>16</v>
      </c>
      <c r="B44" s="23">
        <f>SUMPRODUCT($B$13:$D$13,$B43:$D43)/SUMPRODUCT($B$16:$D$16,$B43:$D43)</f>
        <v/>
      </c>
      <c r="C44" s="23">
        <f>SUMPRODUCT($B$14:$D$14,$B43:$D43)/SUMPRODUCT($B$16:$D$16,$B43:$D43)</f>
        <v/>
      </c>
      <c r="D44" s="23">
        <f>SUMPRODUCT($B$15:$D$15,$B43:$D43)/SUMPRODUCT($B$16:$D$16,$B43:$D43)</f>
        <v/>
      </c>
    </row>
    <row r="45" ht="15.75" customHeight="1" s="42">
      <c r="A45" s="7" t="n">
        <v>17</v>
      </c>
      <c r="B45" s="23">
        <f>SUMPRODUCT($B$13:$D$13,$B44:$D44)/SUMPRODUCT($B$16:$D$16,$B44:$D44)</f>
        <v/>
      </c>
      <c r="C45" s="23">
        <f>SUMPRODUCT($B$14:$D$14,$B44:$D44)/SUMPRODUCT($B$16:$D$16,$B44:$D44)</f>
        <v/>
      </c>
      <c r="D45" s="23">
        <f>SUMPRODUCT($B$15:$D$15,$B44:$D44)/SUMPRODUCT($B$16:$D$16,$B44:$D44)</f>
        <v/>
      </c>
    </row>
    <row r="46" ht="15.75" customHeight="1" s="42">
      <c r="A46" s="7" t="n">
        <v>18</v>
      </c>
      <c r="B46" s="23">
        <f>SUMPRODUCT($B$13:$D$13,$B45:$D45)/SUMPRODUCT($B$16:$D$16,$B45:$D45)</f>
        <v/>
      </c>
      <c r="C46" s="23">
        <f>SUMPRODUCT($B$14:$D$14,$B45:$D45)/SUMPRODUCT($B$16:$D$16,$B45:$D45)</f>
        <v/>
      </c>
      <c r="D46" s="23">
        <f>SUMPRODUCT($B$15:$D$15,$B45:$D45)/SUMPRODUCT($B$16:$D$16,$B45:$D45)</f>
        <v/>
      </c>
    </row>
    <row r="47" ht="15.75" customHeight="1" s="42">
      <c r="A47" s="7" t="n">
        <v>19</v>
      </c>
      <c r="B47" s="23">
        <f>SUMPRODUCT($B$13:$D$13,$B46:$D46)/SUMPRODUCT($B$16:$D$16,$B46:$D46)</f>
        <v/>
      </c>
      <c r="C47" s="23">
        <f>SUMPRODUCT($B$14:$D$14,$B46:$D46)/SUMPRODUCT($B$16:$D$16,$B46:$D46)</f>
        <v/>
      </c>
      <c r="D47" s="23">
        <f>SUMPRODUCT($B$15:$D$15,$B46:$D46)/SUMPRODUCT($B$16:$D$16,$B46:$D46)</f>
        <v/>
      </c>
    </row>
    <row r="48" ht="15.75" customHeight="1" s="42">
      <c r="A48" s="7" t="n">
        <v>20</v>
      </c>
      <c r="B48" s="23">
        <f>SUMPRODUCT($B$13:$D$13,$B47:$D47)/SUMPRODUCT($B$16:$D$16,$B47:$D47)</f>
        <v/>
      </c>
      <c r="C48" s="23">
        <f>SUMPRODUCT($B$14:$D$14,$B47:$D47)/SUMPRODUCT($B$16:$D$16,$B47:$D47)</f>
        <v/>
      </c>
      <c r="D48" s="23">
        <f>SUMPRODUCT($B$15:$D$15,$B47:$D47)/SUMPRODUCT($B$16:$D$16,$B47:$D47)</f>
        <v/>
      </c>
    </row>
    <row r="49" ht="15.75" customHeight="1" s="42">
      <c r="A49" s="7" t="n">
        <v>21</v>
      </c>
      <c r="B49" s="23">
        <f>SUMPRODUCT($B$13:$D$13,$B48:$D48)/SUMPRODUCT($B$16:$D$16,$B48:$D48)</f>
        <v/>
      </c>
      <c r="C49" s="23">
        <f>SUMPRODUCT($B$14:$D$14,$B48:$D48)/SUMPRODUCT($B$16:$D$16,$B48:$D48)</f>
        <v/>
      </c>
      <c r="D49" s="23">
        <f>SUMPRODUCT($B$15:$D$15,$B48:$D48)/SUMPRODUCT($B$16:$D$16,$B48:$D48)</f>
        <v/>
      </c>
    </row>
    <row r="50" ht="15.75" customHeight="1" s="42">
      <c r="A50" s="7" t="n">
        <v>22</v>
      </c>
      <c r="B50" s="23">
        <f>SUMPRODUCT($B$13:$D$13,$B49:$D49)/SUMPRODUCT($B$16:$D$16,$B49:$D49)</f>
        <v/>
      </c>
      <c r="C50" s="23">
        <f>SUMPRODUCT($B$14:$D$14,$B49:$D49)/SUMPRODUCT($B$16:$D$16,$B49:$D49)</f>
        <v/>
      </c>
      <c r="D50" s="23">
        <f>SUMPRODUCT($B$15:$D$15,$B49:$D49)/SUMPRODUCT($B$16:$D$16,$B49:$D49)</f>
        <v/>
      </c>
    </row>
    <row r="51" ht="15.75" customHeight="1" s="42">
      <c r="A51" s="7" t="n">
        <v>23</v>
      </c>
      <c r="B51" s="23">
        <f>SUMPRODUCT($B$13:$D$13,$B50:$D50)/SUMPRODUCT($B$16:$D$16,$B50:$D50)</f>
        <v/>
      </c>
      <c r="C51" s="23">
        <f>SUMPRODUCT($B$14:$D$14,$B50:$D50)/SUMPRODUCT($B$16:$D$16,$B50:$D50)</f>
        <v/>
      </c>
      <c r="D51" s="23">
        <f>SUMPRODUCT($B$15:$D$15,$B50:$D50)/SUMPRODUCT($B$16:$D$16,$B50:$D50)</f>
        <v/>
      </c>
    </row>
    <row r="52" ht="15.75" customHeight="1" s="42">
      <c r="A52" s="7" t="n">
        <v>24</v>
      </c>
      <c r="B52" s="23">
        <f>SUMPRODUCT($B$13:$D$13,$B51:$D51)/SUMPRODUCT($B$16:$D$16,$B51:$D51)</f>
        <v/>
      </c>
      <c r="C52" s="23">
        <f>SUMPRODUCT($B$14:$D$14,$B51:$D51)/SUMPRODUCT($B$16:$D$16,$B51:$D51)</f>
        <v/>
      </c>
      <c r="D52" s="23">
        <f>SUMPRODUCT($B$15:$D$15,$B51:$D51)/SUMPRODUCT($B$16:$D$16,$B51:$D51)</f>
        <v/>
      </c>
    </row>
    <row r="53" ht="15.75" customHeight="1" s="42">
      <c r="A53" s="7" t="n">
        <v>25</v>
      </c>
      <c r="B53" s="23">
        <f>SUMPRODUCT($B$13:$D$13,$B52:$D52)/SUMPRODUCT($B$16:$D$16,$B52:$D52)</f>
        <v/>
      </c>
      <c r="C53" s="23">
        <f>SUMPRODUCT($B$14:$D$14,$B52:$D52)/SUMPRODUCT($B$16:$D$16,$B52:$D52)</f>
        <v/>
      </c>
      <c r="D53" s="23">
        <f>SUMPRODUCT($B$15:$D$15,$B52:$D52)/SUMPRODUCT($B$16:$D$16,$B52:$D52)</f>
        <v/>
      </c>
    </row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conditionalFormatting sqref="B23">
    <cfRule type="expression" priority="1" dxfId="0">
      <formula>LEFT($B$23,2)="OK"</formula>
    </cfRule>
    <cfRule type="expression" priority="2" dxfId="1">
      <formula>LEFT($B$23,2)&lt;&gt;"OK"</formula>
    </cfRule>
  </conditionalFormatting>
  <dataValidations count="2">
    <dataValidation sqref="E7:E9" showDropDown="0" showInputMessage="0" showErrorMessage="0" allowBlank="0" type="decimal">
      <formula1>1.0</formula1>
      <formula2>9.0</formula2>
    </dataValidation>
    <dataValidation sqref="D7:D9" showDropDown="0" showInputMessage="0" showErrorMessage="0" allowBlank="0" type="list">
      <formula1>"Izquierda,Derecha,Igual"</formula1>
    </dataValidation>
  </dataValidations>
  <pageMargins left="0.75" right="0.75" top="1" bottom="1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ColWidth="14.43" defaultRowHeight="15" customHeight="1"/>
  <cols>
    <col width="38" customWidth="1" style="42" min="1" max="1"/>
    <col width="16" customWidth="1" style="42" min="2" max="2"/>
    <col width="22" customWidth="1" style="42" min="3" max="3"/>
    <col width="16" customWidth="1" style="42" min="4" max="7"/>
    <col width="8.710000000000001" customWidth="1" style="42" min="8" max="26"/>
  </cols>
  <sheetData>
    <row r="1">
      <c r="A1" s="1" t="inlineStr">
        <is>
          <t>Resultados del AHP</t>
        </is>
      </c>
    </row>
    <row r="2">
      <c r="A2" s="35" t="inlineStr">
        <is>
          <t>Todo se calcula con fórmulas a partir de las hojas de comparación.</t>
        </is>
      </c>
    </row>
    <row r="4">
      <c r="A4" s="24" t="inlineStr">
        <is>
          <t>1. Pesos de los criterios</t>
        </is>
      </c>
    </row>
    <row r="5">
      <c r="A5" s="6" t="inlineStr">
        <is>
          <t>Criterio</t>
        </is>
      </c>
      <c r="B5" s="6" t="inlineStr">
        <is>
          <t>Peso</t>
        </is>
      </c>
      <c r="C5" s="6" t="inlineStr">
        <is>
          <t>Posición</t>
        </is>
      </c>
    </row>
    <row r="6">
      <c r="A6" s="8">
        <f>Inicio!$B$8</f>
        <v/>
      </c>
      <c r="B6" s="26">
        <f>Criterios!G20</f>
        <v/>
      </c>
      <c r="C6" s="10">
        <f>RANK(B6,$B$6:$B$10)</f>
        <v/>
      </c>
    </row>
    <row r="7">
      <c r="A7" s="8">
        <f>Inicio!$B$9</f>
        <v/>
      </c>
      <c r="B7" s="26">
        <f>Criterios!G21</f>
        <v/>
      </c>
      <c r="C7" s="10">
        <f>RANK(B7,$B$6:$B$10)</f>
        <v/>
      </c>
    </row>
    <row r="8">
      <c r="A8" s="8">
        <f>Inicio!$B$10</f>
        <v/>
      </c>
      <c r="B8" s="26">
        <f>Criterios!G22</f>
        <v/>
      </c>
      <c r="C8" s="10">
        <f>RANK(B8,$B$6:$B$10)</f>
        <v/>
      </c>
    </row>
    <row r="9">
      <c r="A9" s="8">
        <f>Inicio!$B$11</f>
        <v/>
      </c>
      <c r="B9" s="26">
        <f>Criterios!G23</f>
        <v/>
      </c>
      <c r="C9" s="10">
        <f>RANK(B9,$B$6:$B$10)</f>
        <v/>
      </c>
    </row>
    <row r="10">
      <c r="A10" s="8">
        <f>Inicio!$B$12</f>
        <v/>
      </c>
      <c r="B10" s="26">
        <f>Criterios!G24</f>
        <v/>
      </c>
      <c r="C10" s="10">
        <f>RANK(B10,$B$6:$B$10)</f>
        <v/>
      </c>
    </row>
    <row r="11">
      <c r="A11" s="25" t="inlineStr">
        <is>
          <t>Suma / CR de la matriz de criterios</t>
        </is>
      </c>
      <c r="B11" s="29">
        <f>SUM(B6:B10)</f>
        <v/>
      </c>
      <c r="C11" s="26">
        <f>Criterios!B31</f>
        <v/>
      </c>
      <c r="D11" s="9">
        <f>Criterios!B32</f>
        <v/>
      </c>
    </row>
    <row r="13">
      <c r="A13" s="24" t="inlineStr">
        <is>
          <t>2. Prioridades locales de las alternativas por criterio</t>
        </is>
      </c>
    </row>
    <row r="14">
      <c r="A14" s="6" t="n"/>
      <c r="B14" s="6">
        <f>Inicio!$B$8</f>
        <v/>
      </c>
      <c r="C14" s="6">
        <f>Inicio!$B$9</f>
        <v/>
      </c>
      <c r="D14" s="6">
        <f>Inicio!$B$10</f>
        <v/>
      </c>
      <c r="E14" s="6">
        <f>Inicio!$B$11</f>
        <v/>
      </c>
      <c r="F14" s="6">
        <f>Inicio!$B$12</f>
        <v/>
      </c>
      <c r="G14" s="6" t="inlineStr">
        <is>
          <t>Puntaje global</t>
        </is>
      </c>
    </row>
    <row r="15">
      <c r="A15" s="4" t="inlineStr">
        <is>
          <t>Peso del criterio</t>
        </is>
      </c>
      <c r="B15" s="28">
        <f>$B$6</f>
        <v/>
      </c>
      <c r="C15" s="28">
        <f>$B$7</f>
        <v/>
      </c>
      <c r="D15" s="28">
        <f>$B$8</f>
        <v/>
      </c>
      <c r="E15" s="28">
        <f>$B$9</f>
        <v/>
      </c>
      <c r="F15" s="28">
        <f>$B$10</f>
        <v/>
      </c>
      <c r="G15" s="30">
        <f>SUM(B15:F15)</f>
        <v/>
      </c>
    </row>
    <row r="16">
      <c r="A16" s="8">
        <f>Inicio!$A$16&amp;": "&amp;Inicio!$B$16</f>
        <v/>
      </c>
      <c r="B16" s="26">
        <f>Pertinencia!E13</f>
        <v/>
      </c>
      <c r="C16" s="26">
        <f>Datos!E13</f>
        <v/>
      </c>
      <c r="D16" s="26">
        <f>Viabilidad!E13</f>
        <v/>
      </c>
      <c r="E16" s="26">
        <f>Impacto!E13</f>
        <v/>
      </c>
      <c r="F16" s="26">
        <f>Caso_real!E13</f>
        <v/>
      </c>
      <c r="G16" s="17">
        <f>SUMPRODUCT($B$15:$F$15,B16:F16)</f>
        <v/>
      </c>
    </row>
    <row r="17">
      <c r="A17" s="8">
        <f>Inicio!$A$17&amp;": "&amp;Inicio!$B$17</f>
        <v/>
      </c>
      <c r="B17" s="26">
        <f>Pertinencia!E14</f>
        <v/>
      </c>
      <c r="C17" s="26">
        <f>Datos!E14</f>
        <v/>
      </c>
      <c r="D17" s="26">
        <f>Viabilidad!E14</f>
        <v/>
      </c>
      <c r="E17" s="26">
        <f>Impacto!E14</f>
        <v/>
      </c>
      <c r="F17" s="26">
        <f>Caso_real!E14</f>
        <v/>
      </c>
      <c r="G17" s="17">
        <f>SUMPRODUCT($B$15:$F$15,B17:F17)</f>
        <v/>
      </c>
    </row>
    <row r="18">
      <c r="A18" s="8">
        <f>Inicio!$A$18&amp;": "&amp;Inicio!$B$18</f>
        <v/>
      </c>
      <c r="B18" s="26">
        <f>Pertinencia!E15</f>
        <v/>
      </c>
      <c r="C18" s="26">
        <f>Datos!E15</f>
        <v/>
      </c>
      <c r="D18" s="26">
        <f>Viabilidad!E15</f>
        <v/>
      </c>
      <c r="E18" s="26">
        <f>Impacto!E15</f>
        <v/>
      </c>
      <c r="F18" s="26">
        <f>Caso_real!E15</f>
        <v/>
      </c>
      <c r="G18" s="17">
        <f>SUMPRODUCT($B$15:$F$15,B18:F18)</f>
        <v/>
      </c>
    </row>
    <row r="19">
      <c r="A19" s="25" t="inlineStr">
        <is>
          <t>CR de la matriz</t>
        </is>
      </c>
      <c r="B19" s="26">
        <f>Pertinencia!B22</f>
        <v/>
      </c>
      <c r="C19" s="26">
        <f>Datos!B22</f>
        <v/>
      </c>
      <c r="D19" s="26">
        <f>Viabilidad!B22</f>
        <v/>
      </c>
      <c r="E19" s="26">
        <f>Impacto!B22</f>
        <v/>
      </c>
      <c r="F19" s="26">
        <f>Caso_real!B22</f>
        <v/>
      </c>
      <c r="G19" s="36">
        <f>IF(AND(MAX(B19:F19)&lt;0.1,C11&lt;0.1),"OK","REVISAR")</f>
        <v/>
      </c>
    </row>
    <row r="21" ht="15.75" customHeight="1" s="42">
      <c r="A21" s="24" t="inlineStr">
        <is>
          <t>3. Ranking final</t>
        </is>
      </c>
    </row>
    <row r="22" ht="15.75" customHeight="1" s="42">
      <c r="A22" s="6" t="inlineStr">
        <is>
          <t>Tema</t>
        </is>
      </c>
      <c r="B22" s="6" t="inlineStr">
        <is>
          <t>Puntaje global</t>
        </is>
      </c>
      <c r="C22" s="6" t="inlineStr">
        <is>
          <t>Posición</t>
        </is>
      </c>
    </row>
    <row r="23" ht="15.75" customHeight="1" s="42">
      <c r="A23" s="8">
        <f>Inicio!$A$16&amp;": "&amp;Inicio!$B$16</f>
        <v/>
      </c>
      <c r="B23" s="28">
        <f>G16</f>
        <v/>
      </c>
      <c r="C23" s="27">
        <f>RANK(B23,$B$23:$B$25)</f>
        <v/>
      </c>
    </row>
    <row r="24" ht="15.75" customHeight="1" s="42">
      <c r="A24" s="8">
        <f>Inicio!$A$17&amp;": "&amp;Inicio!$B$17</f>
        <v/>
      </c>
      <c r="B24" s="28">
        <f>G17</f>
        <v/>
      </c>
      <c r="C24" s="27">
        <f>RANK(B24,$B$23:$B$25)</f>
        <v/>
      </c>
    </row>
    <row r="25" ht="15.75" customHeight="1" s="42">
      <c r="A25" s="8">
        <f>Inicio!$A$18&amp;": "&amp;Inicio!$B$18</f>
        <v/>
      </c>
      <c r="B25" s="28">
        <f>G18</f>
        <v/>
      </c>
      <c r="C25" s="27">
        <f>RANK(B25,$B$23:$B$25)</f>
        <v/>
      </c>
    </row>
    <row r="26" ht="15.75" customHeight="1" s="42">
      <c r="A26" s="4" t="inlineStr">
        <is>
          <t>Total</t>
        </is>
      </c>
      <c r="B26" s="30">
        <f>SUM(B23:B25)</f>
        <v/>
      </c>
    </row>
    <row r="27" ht="15.75" customHeight="1" s="42">
      <c r="A27" s="4" t="inlineStr">
        <is>
          <t>Tema recomendado</t>
        </is>
      </c>
      <c r="B27" s="43">
        <f t="array" ref="B27">INDEX(A23:A25,MATCH(MAX(B23:B25),B23:B25,0))</f>
        <v/>
      </c>
      <c r="C27" s="44" t="n"/>
      <c r="D27" s="45" t="n"/>
    </row>
    <row r="28" ht="15.75" customHeight="1" s="42"/>
    <row r="29" ht="15.75" customHeight="1" s="42">
      <c r="A29" s="24" t="inlineStr">
        <is>
          <t>4. Aporte de cada criterio al puntaje global (peso × prioridad local)</t>
        </is>
      </c>
    </row>
    <row r="30" ht="15.75" customHeight="1" s="42">
      <c r="A30" s="6" t="inlineStr">
        <is>
          <t>Tema</t>
        </is>
      </c>
      <c r="B30" s="6">
        <f>Inicio!$B$8</f>
        <v/>
      </c>
      <c r="C30" s="6">
        <f>Inicio!$B$9</f>
        <v/>
      </c>
      <c r="D30" s="6">
        <f>Inicio!$B$10</f>
        <v/>
      </c>
      <c r="E30" s="6">
        <f>Inicio!$B$11</f>
        <v/>
      </c>
      <c r="F30" s="6">
        <f>Inicio!$B$12</f>
        <v/>
      </c>
      <c r="G30" s="6" t="inlineStr">
        <is>
          <t>Total</t>
        </is>
      </c>
    </row>
    <row r="31" ht="15.75" customHeight="1" s="42">
      <c r="A31" s="8">
        <f>Inicio!$A$16&amp;": "&amp;Inicio!$B$16</f>
        <v/>
      </c>
      <c r="B31" s="28">
        <f>B$15*B16</f>
        <v/>
      </c>
      <c r="C31" s="28">
        <f>C$15*C16</f>
        <v/>
      </c>
      <c r="D31" s="28">
        <f>D$15*D16</f>
        <v/>
      </c>
      <c r="E31" s="28">
        <f>E$15*E16</f>
        <v/>
      </c>
      <c r="F31" s="28">
        <f>F$15*F16</f>
        <v/>
      </c>
      <c r="G31" s="30">
        <f>SUM(B31:F31)</f>
        <v/>
      </c>
    </row>
    <row r="32" ht="15.75" customHeight="1" s="42">
      <c r="A32" s="8">
        <f>Inicio!$A$17&amp;": "&amp;Inicio!$B$17</f>
        <v/>
      </c>
      <c r="B32" s="28">
        <f>B$15*B17</f>
        <v/>
      </c>
      <c r="C32" s="28">
        <f>C$15*C17</f>
        <v/>
      </c>
      <c r="D32" s="28">
        <f>D$15*D17</f>
        <v/>
      </c>
      <c r="E32" s="28">
        <f>E$15*E17</f>
        <v/>
      </c>
      <c r="F32" s="28">
        <f>F$15*F17</f>
        <v/>
      </c>
      <c r="G32" s="30">
        <f>SUM(B32:F32)</f>
        <v/>
      </c>
    </row>
    <row r="33" ht="15.75" customHeight="1" s="42">
      <c r="A33" s="8">
        <f>Inicio!$A$18&amp;": "&amp;Inicio!$B$18</f>
        <v/>
      </c>
      <c r="B33" s="28">
        <f>B$15*B18</f>
        <v/>
      </c>
      <c r="C33" s="28">
        <f>C$15*C18</f>
        <v/>
      </c>
      <c r="D33" s="28">
        <f>D$15*D18</f>
        <v/>
      </c>
      <c r="E33" s="28">
        <f>E$15*E18</f>
        <v/>
      </c>
      <c r="F33" s="28">
        <f>F$15*F18</f>
        <v/>
      </c>
      <c r="G33" s="30">
        <f>SUM(B33:F33)</f>
        <v/>
      </c>
    </row>
    <row r="34" ht="15.75" customHeight="1" s="42"/>
    <row r="35" ht="15.75" customHeight="1" s="42">
      <c r="A35" s="24" t="inlineStr">
        <is>
          <t>5. Jerarquía de decisión (equivalente a la tabla de AHP-OS)</t>
        </is>
      </c>
    </row>
    <row r="36" ht="15.75" customHeight="1" s="42">
      <c r="A36" s="6" t="inlineStr">
        <is>
          <t>Criterio</t>
        </is>
      </c>
      <c r="B36" s="6" t="inlineStr">
        <is>
          <t>Peso criterio</t>
        </is>
      </c>
      <c r="C36" s="6" t="inlineStr">
        <is>
          <t>Alternativa</t>
        </is>
      </c>
      <c r="D36" s="6" t="inlineStr">
        <is>
          <t>Prioridad local</t>
        </is>
      </c>
      <c r="E36" s="6" t="inlineStr">
        <is>
          <t>Prioridad global</t>
        </is>
      </c>
    </row>
    <row r="37" ht="15.75" customHeight="1" s="42">
      <c r="A37" s="8">
        <f>Inicio!$B$8</f>
        <v/>
      </c>
      <c r="B37" s="28">
        <f>B$15</f>
        <v/>
      </c>
      <c r="C37" s="41">
        <f>Inicio!$A$16</f>
        <v/>
      </c>
      <c r="D37" s="28">
        <f>B16</f>
        <v/>
      </c>
      <c r="E37" s="28">
        <f>B37*D37</f>
        <v/>
      </c>
    </row>
    <row r="38" ht="15.75" customHeight="1" s="42">
      <c r="A38" s="8">
        <f>Inicio!$B$8</f>
        <v/>
      </c>
      <c r="B38" s="28">
        <f>B$15</f>
        <v/>
      </c>
      <c r="C38" s="41">
        <f>Inicio!$A$17</f>
        <v/>
      </c>
      <c r="D38" s="28">
        <f>B17</f>
        <v/>
      </c>
      <c r="E38" s="28">
        <f>B38*D38</f>
        <v/>
      </c>
    </row>
    <row r="39" ht="15.75" customHeight="1" s="42">
      <c r="A39" s="8">
        <f>Inicio!$B$8</f>
        <v/>
      </c>
      <c r="B39" s="28">
        <f>B$15</f>
        <v/>
      </c>
      <c r="C39" s="41">
        <f>Inicio!$A$18</f>
        <v/>
      </c>
      <c r="D39" s="28">
        <f>B18</f>
        <v/>
      </c>
      <c r="E39" s="28">
        <f>B39*D39</f>
        <v/>
      </c>
    </row>
    <row r="40" ht="15.75" customHeight="1" s="42">
      <c r="A40" s="8">
        <f>Inicio!$B$9</f>
        <v/>
      </c>
      <c r="B40" s="28">
        <f>C$15</f>
        <v/>
      </c>
      <c r="C40" s="41">
        <f>Inicio!$A$16</f>
        <v/>
      </c>
      <c r="D40" s="28">
        <f>C16</f>
        <v/>
      </c>
      <c r="E40" s="28">
        <f>B40*D40</f>
        <v/>
      </c>
    </row>
    <row r="41" ht="15.75" customHeight="1" s="42">
      <c r="A41" s="8">
        <f>Inicio!$B$9</f>
        <v/>
      </c>
      <c r="B41" s="28">
        <f>C$15</f>
        <v/>
      </c>
      <c r="C41" s="41">
        <f>Inicio!$A$17</f>
        <v/>
      </c>
      <c r="D41" s="28">
        <f>C17</f>
        <v/>
      </c>
      <c r="E41" s="28">
        <f>B41*D41</f>
        <v/>
      </c>
    </row>
    <row r="42" ht="15.75" customHeight="1" s="42">
      <c r="A42" s="8">
        <f>Inicio!$B$9</f>
        <v/>
      </c>
      <c r="B42" s="28">
        <f>C$15</f>
        <v/>
      </c>
      <c r="C42" s="41">
        <f>Inicio!$A$18</f>
        <v/>
      </c>
      <c r="D42" s="28">
        <f>C18</f>
        <v/>
      </c>
      <c r="E42" s="28">
        <f>B42*D42</f>
        <v/>
      </c>
    </row>
    <row r="43" ht="15.75" customHeight="1" s="42">
      <c r="A43" s="8">
        <f>Inicio!$B$10</f>
        <v/>
      </c>
      <c r="B43" s="28">
        <f>D$15</f>
        <v/>
      </c>
      <c r="C43" s="41">
        <f>Inicio!$A$16</f>
        <v/>
      </c>
      <c r="D43" s="28">
        <f>D16</f>
        <v/>
      </c>
      <c r="E43" s="28">
        <f>B43*D43</f>
        <v/>
      </c>
    </row>
    <row r="44" ht="15.75" customHeight="1" s="42">
      <c r="A44" s="8">
        <f>Inicio!$B$10</f>
        <v/>
      </c>
      <c r="B44" s="28">
        <f>D$15</f>
        <v/>
      </c>
      <c r="C44" s="41">
        <f>Inicio!$A$17</f>
        <v/>
      </c>
      <c r="D44" s="28">
        <f>D17</f>
        <v/>
      </c>
      <c r="E44" s="28">
        <f>B44*D44</f>
        <v/>
      </c>
    </row>
    <row r="45" ht="15.75" customHeight="1" s="42">
      <c r="A45" s="8">
        <f>Inicio!$B$10</f>
        <v/>
      </c>
      <c r="B45" s="28">
        <f>D$15</f>
        <v/>
      </c>
      <c r="C45" s="41">
        <f>Inicio!$A$18</f>
        <v/>
      </c>
      <c r="D45" s="28">
        <f>D18</f>
        <v/>
      </c>
      <c r="E45" s="28">
        <f>B45*D45</f>
        <v/>
      </c>
    </row>
    <row r="46" ht="15.75" customHeight="1" s="42">
      <c r="A46" s="8">
        <f>Inicio!$B$11</f>
        <v/>
      </c>
      <c r="B46" s="28">
        <f>E$15</f>
        <v/>
      </c>
      <c r="C46" s="41">
        <f>Inicio!$A$16</f>
        <v/>
      </c>
      <c r="D46" s="28">
        <f>E16</f>
        <v/>
      </c>
      <c r="E46" s="28">
        <f>B46*D46</f>
        <v/>
      </c>
    </row>
    <row r="47" ht="15.75" customHeight="1" s="42">
      <c r="A47" s="8">
        <f>Inicio!$B$11</f>
        <v/>
      </c>
      <c r="B47" s="28">
        <f>E$15</f>
        <v/>
      </c>
      <c r="C47" s="41">
        <f>Inicio!$A$17</f>
        <v/>
      </c>
      <c r="D47" s="28">
        <f>E17</f>
        <v/>
      </c>
      <c r="E47" s="28">
        <f>B47*D47</f>
        <v/>
      </c>
    </row>
    <row r="48" ht="15.75" customHeight="1" s="42">
      <c r="A48" s="8">
        <f>Inicio!$B$11</f>
        <v/>
      </c>
      <c r="B48" s="28">
        <f>E$15</f>
        <v/>
      </c>
      <c r="C48" s="41">
        <f>Inicio!$A$18</f>
        <v/>
      </c>
      <c r="D48" s="28">
        <f>E18</f>
        <v/>
      </c>
      <c r="E48" s="28">
        <f>B48*D48</f>
        <v/>
      </c>
    </row>
    <row r="49" ht="15.75" customHeight="1" s="42">
      <c r="A49" s="8">
        <f>Inicio!$B$12</f>
        <v/>
      </c>
      <c r="B49" s="28">
        <f>F$15</f>
        <v/>
      </c>
      <c r="C49" s="41">
        <f>Inicio!$A$16</f>
        <v/>
      </c>
      <c r="D49" s="28">
        <f>F16</f>
        <v/>
      </c>
      <c r="E49" s="28">
        <f>B49*D49</f>
        <v/>
      </c>
    </row>
    <row r="50" ht="15.75" customHeight="1" s="42">
      <c r="A50" s="8">
        <f>Inicio!$B$12</f>
        <v/>
      </c>
      <c r="B50" s="28">
        <f>F$15</f>
        <v/>
      </c>
      <c r="C50" s="41">
        <f>Inicio!$A$17</f>
        <v/>
      </c>
      <c r="D50" s="28">
        <f>F17</f>
        <v/>
      </c>
      <c r="E50" s="28">
        <f>B50*D50</f>
        <v/>
      </c>
    </row>
    <row r="51" ht="15.75" customHeight="1" s="42">
      <c r="A51" s="8">
        <f>Inicio!$B$12</f>
        <v/>
      </c>
      <c r="B51" s="28">
        <f>F$15</f>
        <v/>
      </c>
      <c r="C51" s="41">
        <f>Inicio!$A$18</f>
        <v/>
      </c>
      <c r="D51" s="28">
        <f>F18</f>
        <v/>
      </c>
      <c r="E51" s="28">
        <f>B51*D51</f>
        <v/>
      </c>
    </row>
    <row r="52" ht="15.75" customHeight="1" s="42">
      <c r="A52" s="4" t="inlineStr">
        <is>
          <t>Suma</t>
        </is>
      </c>
      <c r="E52" s="30">
        <f>SUM(E37:E51)</f>
        <v/>
      </c>
    </row>
    <row r="53" ht="15.75" customHeight="1" s="42"/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mergeCells count="1">
    <mergeCell ref="B27:D27"/>
  </mergeCells>
  <conditionalFormatting sqref="D11">
    <cfRule type="expression" priority="1" dxfId="0">
      <formula>LEFT($D$11,2)="OK"</formula>
    </cfRule>
    <cfRule type="expression" priority="2" dxfId="1">
      <formula>LEFT($D$11,2)&lt;&gt;"OK"</formula>
    </cfRule>
  </conditionalFormatting>
  <conditionalFormatting sqref="G19">
    <cfRule type="expression" priority="3" dxfId="0">
      <formula>G19="OK"</formula>
    </cfRule>
    <cfRule type="expression" priority="4" dxfId="1">
      <formula>G19&lt;&gt;"OK"</formula>
    </cfRule>
  </conditionalFormatting>
  <pageMargins left="0.75" right="0.75" top="1" bottom="1" header="0" footer="0"/>
  <pageSetup orientation="portrait" paperSize="9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ColWidth="14.43" defaultRowHeight="15" customHeight="1"/>
  <cols>
    <col width="26" customWidth="1" style="42" min="1" max="1"/>
    <col width="13" customWidth="1" style="42" min="2" max="6"/>
    <col width="10" customWidth="1" style="42" min="7" max="7"/>
    <col width="14" customWidth="1" style="42" min="8" max="10"/>
    <col width="16" customWidth="1" style="42" min="11" max="11"/>
    <col width="14" customWidth="1" style="42" min="12" max="12"/>
    <col width="8.710000000000001" customWidth="1" style="42" min="13" max="26"/>
  </cols>
  <sheetData>
    <row r="1">
      <c r="A1" s="1" t="inlineStr">
        <is>
          <t>Análisis de sensibilidad</t>
        </is>
      </c>
    </row>
    <row r="2">
      <c r="A2" s="35" t="inlineStr">
        <is>
          <t>Pregunta: ¿el tema ganador sigue siendo el mismo si los pesos de los criterios cambian? Si el ganador se mantiene en todos los escenarios razonables, la decisión es robusta.</t>
        </is>
      </c>
    </row>
    <row r="4">
      <c r="A4" s="24" t="inlineStr">
        <is>
          <t>1. Escenarios de ponderación</t>
        </is>
      </c>
    </row>
    <row r="5">
      <c r="A5" s="6" t="inlineStr">
        <is>
          <t>Escenario</t>
        </is>
      </c>
      <c r="B5" s="6">
        <f>Inicio!$B$8</f>
        <v/>
      </c>
      <c r="C5" s="6">
        <f>Inicio!$B$9</f>
        <v/>
      </c>
      <c r="D5" s="6">
        <f>Inicio!$B$10</f>
        <v/>
      </c>
      <c r="E5" s="6">
        <f>Inicio!$B$11</f>
        <v/>
      </c>
      <c r="F5" s="6">
        <f>Inicio!$B$12</f>
        <v/>
      </c>
      <c r="G5" s="6" t="inlineStr">
        <is>
          <t>Suma</t>
        </is>
      </c>
      <c r="H5" s="6">
        <f>"Puntaje "&amp;Inicio!$A$16</f>
        <v/>
      </c>
      <c r="I5" s="6">
        <f>"Puntaje "&amp;Inicio!$A$17</f>
        <v/>
      </c>
      <c r="J5" s="6">
        <f>"Puntaje "&amp;Inicio!$A$18</f>
        <v/>
      </c>
      <c r="K5" s="6" t="inlineStr">
        <is>
          <t>Ganador</t>
        </is>
      </c>
      <c r="L5" s="6" t="inlineStr">
        <is>
          <t>Margen 1º-2º</t>
        </is>
      </c>
    </row>
    <row r="6">
      <c r="A6" s="25" t="inlineStr">
        <is>
          <t>Base (AHP)</t>
        </is>
      </c>
      <c r="B6" s="26">
        <f>Resultados!B15</f>
        <v/>
      </c>
      <c r="C6" s="26">
        <f>Resultados!C15</f>
        <v/>
      </c>
      <c r="D6" s="26">
        <f>Resultados!D15</f>
        <v/>
      </c>
      <c r="E6" s="26">
        <f>Resultados!E15</f>
        <v/>
      </c>
      <c r="F6" s="26">
        <f>Resultados!F15</f>
        <v/>
      </c>
      <c r="G6" s="26">
        <f>SUM(B6:F6)</f>
        <v/>
      </c>
      <c r="H6" s="26">
        <f>SUMPRODUCT($B6:$F6,Resultados!$B$16:$F$16)/$G6</f>
        <v/>
      </c>
      <c r="I6" s="26">
        <f>SUMPRODUCT($B6:$F6,Resultados!$B$17:$F$17)/$G6</f>
        <v/>
      </c>
      <c r="J6" s="26">
        <f>SUMPRODUCT($B6:$F6,Resultados!$B$18:$F$18)/$G6</f>
        <v/>
      </c>
      <c r="K6" s="27">
        <f t="array" ref="K6">INDEX(Inicio!$A$16:$A$18,MATCH(MAX(H6:J6),H6:J6,0))</f>
        <v/>
      </c>
      <c r="L6" s="28">
        <f>LARGE(H6:J6,1)-LARGE(H6:J6,2)</f>
        <v/>
      </c>
    </row>
    <row r="7">
      <c r="A7" s="8" t="inlineStr">
        <is>
          <t>Viabilidad baja</t>
        </is>
      </c>
      <c r="B7" s="26" t="n">
        <v>0.25</v>
      </c>
      <c r="C7" s="26" t="n">
        <v>0.25</v>
      </c>
      <c r="D7" s="26" t="n">
        <v>0.3</v>
      </c>
      <c r="E7" s="26" t="n">
        <v>0.1</v>
      </c>
      <c r="F7" s="26" t="n">
        <v>0.1</v>
      </c>
      <c r="G7" s="26">
        <f>SUM(B7:F7)</f>
        <v/>
      </c>
      <c r="H7" s="26">
        <f>SUMPRODUCT($B7:$F7,Resultados!$B$16:$F$16)/$G7</f>
        <v/>
      </c>
      <c r="I7" s="26">
        <f>SUMPRODUCT($B7:$F7,Resultados!$B$17:$F$17)/$G7</f>
        <v/>
      </c>
      <c r="J7" s="26">
        <f>SUMPRODUCT($B7:$F7,Resultados!$B$18:$F$18)/$G7</f>
        <v/>
      </c>
      <c r="K7" s="27">
        <f t="array" ref="K7">INDEX(Inicio!$A$16:$A$18,MATCH(MAX(H7:J7),H7:J7,0))</f>
        <v/>
      </c>
      <c r="L7" s="28">
        <f>LARGE(H7:J7,1)-LARGE(H7:J7,2)</f>
        <v/>
      </c>
    </row>
    <row r="8">
      <c r="A8" s="8" t="inlineStr">
        <is>
          <t>Pesos iguales</t>
        </is>
      </c>
      <c r="B8" s="26" t="n">
        <v>0.2</v>
      </c>
      <c r="C8" s="26" t="n">
        <v>0.2</v>
      </c>
      <c r="D8" s="26" t="n">
        <v>0.2</v>
      </c>
      <c r="E8" s="26" t="n">
        <v>0.2</v>
      </c>
      <c r="F8" s="26" t="n">
        <v>0.2</v>
      </c>
      <c r="G8" s="26">
        <f>SUM(B8:F8)</f>
        <v/>
      </c>
      <c r="H8" s="26">
        <f>SUMPRODUCT($B8:$F8,Resultados!$B$16:$F$16)/$G8</f>
        <v/>
      </c>
      <c r="I8" s="26">
        <f>SUMPRODUCT($B8:$F8,Resultados!$B$17:$F$17)/$G8</f>
        <v/>
      </c>
      <c r="J8" s="26">
        <f>SUMPRODUCT($B8:$F8,Resultados!$B$18:$F$18)/$G8</f>
        <v/>
      </c>
      <c r="K8" s="27">
        <f t="array" ref="K8">INDEX(Inicio!$A$16:$A$18,MATCH(MAX(H8:J8),H8:J8,0))</f>
        <v/>
      </c>
      <c r="L8" s="28">
        <f>LARGE(H8:J8,1)-LARGE(H8:J8,2)</f>
        <v/>
      </c>
    </row>
    <row r="9">
      <c r="A9" s="8" t="inlineStr">
        <is>
          <t>Impacto alto</t>
        </is>
      </c>
      <c r="B9" s="26" t="n">
        <v>0.15</v>
      </c>
      <c r="C9" s="26" t="n">
        <v>0.15</v>
      </c>
      <c r="D9" s="26" t="n">
        <v>0.3</v>
      </c>
      <c r="E9" s="26" t="n">
        <v>0.3</v>
      </c>
      <c r="F9" s="26" t="n">
        <v>0.1</v>
      </c>
      <c r="G9" s="26">
        <f>SUM(B9:F9)</f>
        <v/>
      </c>
      <c r="H9" s="26">
        <f>SUMPRODUCT($B9:$F9,Resultados!$B$16:$F$16)/$G9</f>
        <v/>
      </c>
      <c r="I9" s="26">
        <f>SUMPRODUCT($B9:$F9,Resultados!$B$17:$F$17)/$G9</f>
        <v/>
      </c>
      <c r="J9" s="26">
        <f>SUMPRODUCT($B9:$F9,Resultados!$B$18:$F$18)/$G9</f>
        <v/>
      </c>
      <c r="K9" s="27">
        <f t="array" ref="K9">INDEX(Inicio!$A$16:$A$18,MATCH(MAX(H9:J9),H9:J9,0))</f>
        <v/>
      </c>
      <c r="L9" s="28">
        <f>LARGE(H9:J9,1)-LARGE(H9:J9,2)</f>
        <v/>
      </c>
    </row>
    <row r="10">
      <c r="A10" s="8" t="inlineStr">
        <is>
          <t>Caso real alto</t>
        </is>
      </c>
      <c r="B10" s="26" t="n">
        <v>0.15</v>
      </c>
      <c r="C10" s="26" t="n">
        <v>0.15</v>
      </c>
      <c r="D10" s="26" t="n">
        <v>0.3</v>
      </c>
      <c r="E10" s="26" t="n">
        <v>0.1</v>
      </c>
      <c r="F10" s="26" t="n">
        <v>0.3</v>
      </c>
      <c r="G10" s="26">
        <f>SUM(B10:F10)</f>
        <v/>
      </c>
      <c r="H10" s="26">
        <f>SUMPRODUCT($B10:$F10,Resultados!$B$16:$F$16)/$G10</f>
        <v/>
      </c>
      <c r="I10" s="26">
        <f>SUMPRODUCT($B10:$F10,Resultados!$B$17:$F$17)/$G10</f>
        <v/>
      </c>
      <c r="J10" s="26">
        <f>SUMPRODUCT($B10:$F10,Resultados!$B$18:$F$18)/$G10</f>
        <v/>
      </c>
      <c r="K10" s="27">
        <f t="array" ref="K10">INDEX(Inicio!$A$16:$A$18,MATCH(MAX(H10:J10),H10:J10,0))</f>
        <v/>
      </c>
      <c r="L10" s="28">
        <f>LARGE(H10:J10,1)-LARGE(H10:J10,2)</f>
        <v/>
      </c>
    </row>
    <row r="11">
      <c r="A11" s="8" t="inlineStr">
        <is>
          <t>Sin Viabilidad</t>
        </is>
      </c>
      <c r="B11" s="26" t="n">
        <v>0.3</v>
      </c>
      <c r="C11" s="26" t="n">
        <v>0.3</v>
      </c>
      <c r="D11" s="26" t="n">
        <v>0</v>
      </c>
      <c r="E11" s="26" t="n">
        <v>0.2</v>
      </c>
      <c r="F11" s="26" t="n">
        <v>0.2</v>
      </c>
      <c r="G11" s="26">
        <f>SUM(B11:F11)</f>
        <v/>
      </c>
      <c r="H11" s="26">
        <f>SUMPRODUCT($B11:$F11,Resultados!$B$16:$F$16)/$G11</f>
        <v/>
      </c>
      <c r="I11" s="26">
        <f>SUMPRODUCT($B11:$F11,Resultados!$B$17:$F$17)/$G11</f>
        <v/>
      </c>
      <c r="J11" s="26">
        <f>SUMPRODUCT($B11:$F11,Resultados!$B$18:$F$18)/$G11</f>
        <v/>
      </c>
      <c r="K11" s="27">
        <f t="array" ref="K11">INDEX(Inicio!$A$16:$A$18,MATCH(MAX(H11:J11),H11:J11,0))</f>
        <v/>
      </c>
      <c r="L11" s="28">
        <f>LARGE(H11:J11,1)-LARGE(H11:J11,2)</f>
        <v/>
      </c>
    </row>
    <row r="12">
      <c r="A12" s="4" t="inlineStr">
        <is>
          <t>¿El ganador cambia en algún escenario?</t>
        </is>
      </c>
      <c r="B12" s="44" t="n"/>
      <c r="C12" s="44" t="n"/>
      <c r="D12" s="44" t="n"/>
      <c r="E12" s="45" t="n"/>
      <c r="F12" s="36">
        <f>IF(COUNTIF(K6:K11,K6)=ROWS(K6:K11),"NO: decisión robusta","SÍ: revisar")</f>
        <v/>
      </c>
      <c r="G12" s="44" t="n"/>
      <c r="H12" s="45" t="n"/>
    </row>
    <row r="13">
      <c r="A13" s="35" t="n"/>
    </row>
    <row r="21" ht="15.75" customHeight="1" s="42"/>
    <row r="22" ht="15.75" customHeight="1" s="42"/>
    <row r="23" ht="15.75" customHeight="1" s="42"/>
    <row r="24" ht="15.75" customHeight="1" s="42"/>
    <row r="25" ht="15.75" customHeight="1" s="42"/>
    <row r="26" ht="15.75" customHeight="1" s="42"/>
    <row r="27" ht="15.75" customHeight="1" s="42"/>
    <row r="28" ht="15.75" customHeight="1" s="42"/>
    <row r="29" ht="15.75" customHeight="1" s="42"/>
    <row r="30" ht="15.75" customHeight="1" s="42"/>
    <row r="31" ht="15.75" customHeight="1" s="42"/>
    <row r="32" ht="15.75" customHeight="1" s="42"/>
    <row r="33" ht="15.75" customHeight="1" s="42"/>
    <row r="34" ht="15.75" customHeight="1" s="42"/>
    <row r="35" ht="15.75" customHeight="1" s="42">
      <c r="A35" s="24" t="inlineStr">
        <is>
          <t>2. Peso crítico: ¿cuánto debe pesar un criterio para que otro tema supere al ganador?</t>
        </is>
      </c>
    </row>
    <row r="36" ht="15.75" customHeight="1" s="42">
      <c r="A36" s="35" t="inlineStr">
        <is>
          <t>Se varía el peso de un criterio de 0 % a 100 % y los demás se reajustan proporcionalmente. 'No cambia' = ningún peso entre 0 % y 100 % hace que ese rival supere al ganador.</t>
        </is>
      </c>
    </row>
    <row r="37" ht="15.75" customHeight="1" s="42">
      <c r="A37" s="4" t="inlineStr">
        <is>
          <t>Ganador base (posición)</t>
        </is>
      </c>
      <c r="B37" s="7">
        <f>MATCH(MAX(Resultados!$G$16:$G$18),Resultados!$G$16:$G$18,0)</f>
        <v/>
      </c>
      <c r="C37" s="27">
        <f t="array" ref="C37">INDEX(Inicio!$A$16:$A$18,B37)</f>
        <v/>
      </c>
    </row>
    <row r="38" ht="15.75" customHeight="1" s="42"/>
    <row r="39" ht="15.75" customHeight="1" s="42">
      <c r="A39" s="6" t="inlineStr">
        <is>
          <t>Criterio</t>
        </is>
      </c>
      <c r="B39" s="6" t="inlineStr">
        <is>
          <t>Peso base</t>
        </is>
      </c>
      <c r="C39" s="6">
        <f>"Rival "&amp;Inicio!$A$16</f>
        <v/>
      </c>
      <c r="D39" s="6">
        <f>"Rival "&amp;Inicio!$A$17</f>
        <v/>
      </c>
      <c r="E39" s="6">
        <f>"Rival "&amp;Inicio!$A$18</f>
        <v/>
      </c>
      <c r="F39" s="6" t="inlineStr">
        <is>
          <t>¿Robusto?</t>
        </is>
      </c>
      <c r="K39" s="37" t="n"/>
    </row>
    <row r="40" ht="15.75" customHeight="1" s="42">
      <c r="A40" s="9">
        <f>Inicio!$B$8</f>
        <v/>
      </c>
      <c r="B40" s="38">
        <f>Resultados!B15</f>
        <v/>
      </c>
      <c r="C40" s="28">
        <f>IF(1=$B$37,"—",IF(B49=B56,"No cambia",IF(AND((-B56/(B49-B56))&gt;=0,(-B56/(B49-B56))&lt;0.999999),(-B56/(B49-B56)),"No cambia")))</f>
        <v/>
      </c>
      <c r="D40" s="28">
        <f>IF(2=$B$37,"—",IF(C49=C56,"No cambia",IF(AND((-C56/(C49-C56))&gt;=0,(-C56/(C49-C56))&lt;0.999999),(-C56/(C49-C56)),"No cambia")))</f>
        <v/>
      </c>
      <c r="E40" s="28">
        <f>IF(3=$B$37,"—",IF(D49=D56,"No cambia",IF(AND((-D56/(D49-D56))&gt;=0,(-D56/(D49-D56))&lt;0.999999),(-D56/(D49-D56)),"No cambia")))</f>
        <v/>
      </c>
      <c r="F40" s="7">
        <f>IF(COUNT(C40:E40)=0,"Robusto","Cambia si llega al peso crítico")</f>
        <v/>
      </c>
    </row>
    <row r="41" ht="15.75" customHeight="1" s="42">
      <c r="A41" s="9">
        <f>Inicio!$B$9</f>
        <v/>
      </c>
      <c r="B41" s="38">
        <f>Resultados!C15</f>
        <v/>
      </c>
      <c r="C41" s="28">
        <f>IF(1=$B$37,"—",IF(B50=B57,"No cambia",IF(AND((-B57/(B50-B57))&gt;=0,(-B57/(B50-B57))&lt;0.999999),(-B57/(B50-B57)),"No cambia")))</f>
        <v/>
      </c>
      <c r="D41" s="28">
        <f>IF(2=$B$37,"—",IF(C50=C57,"No cambia",IF(AND((-C57/(C50-C57))&gt;=0,(-C57/(C50-C57))&lt;0.999999),(-C57/(C50-C57)),"No cambia")))</f>
        <v/>
      </c>
      <c r="E41" s="28">
        <f>IF(3=$B$37,"—",IF(D50=D57,"No cambia",IF(AND((-D57/(D50-D57))&gt;=0,(-D57/(D50-D57))&lt;0.999999),(-D57/(D50-D57)),"No cambia")))</f>
        <v/>
      </c>
      <c r="F41" s="7">
        <f>IF(COUNT(C41:E41)=0,"Robusto","Cambia si llega al peso crítico")</f>
        <v/>
      </c>
    </row>
    <row r="42" ht="15.75" customHeight="1" s="42">
      <c r="A42" s="9">
        <f>Inicio!$B$10</f>
        <v/>
      </c>
      <c r="B42" s="38">
        <f>Resultados!D15</f>
        <v/>
      </c>
      <c r="C42" s="28">
        <f>IF(1=$B$37,"—",IF(B51=B58,"No cambia",IF(AND((-B58/(B51-B58))&gt;=0,(-B58/(B51-B58))&lt;0.999999),(-B58/(B51-B58)),"No cambia")))</f>
        <v/>
      </c>
      <c r="D42" s="28">
        <f>IF(2=$B$37,"—",IF(C51=C58,"No cambia",IF(AND((-C58/(C51-C58))&gt;=0,(-C58/(C51-C58))&lt;0.999999),(-C58/(C51-C58)),"No cambia")))</f>
        <v/>
      </c>
      <c r="E42" s="28">
        <f>IF(3=$B$37,"—",IF(D51=D58,"No cambia",IF(AND((-D58/(D51-D58))&gt;=0,(-D58/(D51-D58))&lt;0.999999),(-D58/(D51-D58)),"No cambia")))</f>
        <v/>
      </c>
      <c r="F42" s="7">
        <f>IF(COUNT(C42:E42)=0,"Robusto","Cambia si llega al peso crítico")</f>
        <v/>
      </c>
    </row>
    <row r="43" ht="15.75" customHeight="1" s="42">
      <c r="A43" s="9">
        <f>Inicio!$B$11</f>
        <v/>
      </c>
      <c r="B43" s="38">
        <f>Resultados!E15</f>
        <v/>
      </c>
      <c r="C43" s="28">
        <f>IF(1=$B$37,"—",IF(B52=B59,"No cambia",IF(AND((-B59/(B52-B59))&gt;=0,(-B59/(B52-B59))&lt;0.999999),(-B59/(B52-B59)),"No cambia")))</f>
        <v/>
      </c>
      <c r="D43" s="28">
        <f>IF(2=$B$37,"—",IF(C52=C59,"No cambia",IF(AND((-C59/(C52-C59))&gt;=0,(-C59/(C52-C59))&lt;0.999999),(-C59/(C52-C59)),"No cambia")))</f>
        <v/>
      </c>
      <c r="E43" s="28">
        <f>IF(3=$B$37,"—",IF(D52=D59,"No cambia",IF(AND((-D59/(D52-D59))&gt;=0,(-D59/(D52-D59))&lt;0.999999),(-D59/(D52-D59)),"No cambia")))</f>
        <v/>
      </c>
      <c r="F43" s="7">
        <f>IF(COUNT(C43:E43)=0,"Robusto","Cambia si llega al peso crítico")</f>
        <v/>
      </c>
    </row>
    <row r="44" ht="15.75" customHeight="1" s="42">
      <c r="A44" s="9">
        <f>Inicio!$B$12</f>
        <v/>
      </c>
      <c r="B44" s="38">
        <f>Resultados!F15</f>
        <v/>
      </c>
      <c r="C44" s="28">
        <f>IF(1=$B$37,"—",IF(B53=B60,"No cambia",IF(AND((-B60/(B53-B60))&gt;=0,(-B60/(B53-B60))&lt;0.999999),(-B60/(B53-B60)),"No cambia")))</f>
        <v/>
      </c>
      <c r="D44" s="28">
        <f>IF(2=$B$37,"—",IF(C53=C60,"No cambia",IF(AND((-C60/(C53-C60))&gt;=0,(-C60/(C53-C60))&lt;0.999999),(-C60/(C53-C60)),"No cambia")))</f>
        <v/>
      </c>
      <c r="E44" s="28">
        <f>IF(3=$B$37,"—",IF(D53=D60,"No cambia",IF(AND((-D60/(D53-D60))&gt;=0,(-D60/(D53-D60))&lt;0.999999),(-D60/(D53-D60)),"No cambia")))</f>
        <v/>
      </c>
      <c r="F44" s="7">
        <f>IF(COUNT(C44:E44)=0,"Robusto","Cambia si llega al peso crítico")</f>
        <v/>
      </c>
    </row>
    <row r="45" ht="15.75" customHeight="1" s="42"/>
    <row r="46" ht="15.75" customHeight="1" s="42"/>
    <row r="47" ht="15.75" customHeight="1" s="42">
      <c r="A47" s="24" t="inlineStr">
        <is>
          <t>Cálculos auxiliares (d1 = ventaja del ganador si el criterio pesa 100 %; d0 = ventaja si pesa 0 %)</t>
        </is>
      </c>
    </row>
    <row r="48" ht="15.75" customHeight="1" s="42">
      <c r="A48" s="6" t="inlineStr">
        <is>
          <t>d1 por criterio</t>
        </is>
      </c>
      <c r="B48" s="6">
        <f>"vs "&amp;Inicio!$A$16</f>
        <v/>
      </c>
      <c r="C48" s="6">
        <f>"vs "&amp;Inicio!$A$17</f>
        <v/>
      </c>
      <c r="D48" s="6">
        <f>"vs "&amp;Inicio!$A$18</f>
        <v/>
      </c>
    </row>
    <row r="49" ht="15.75" customHeight="1" s="42">
      <c r="A49" s="9">
        <f>Inicio!$B$8</f>
        <v/>
      </c>
      <c r="B49" s="23">
        <f t="array" ref="B49">INDEX(Resultados!$B$16:$F$18,$B$37,1)-INDEX(Resultados!$B$16:$F$18,1,1)</f>
        <v/>
      </c>
      <c r="C49" s="23">
        <f t="array" ref="C49">INDEX(Resultados!$B$16:$F$18,$B$37,1)-INDEX(Resultados!$B$16:$F$18,2,1)</f>
        <v/>
      </c>
      <c r="D49" s="23">
        <f t="array" ref="D49">INDEX(Resultados!$B$16:$F$18,$B$37,1)-INDEX(Resultados!$B$16:$F$18,3,1)</f>
        <v/>
      </c>
    </row>
    <row r="50" ht="15.75" customHeight="1" s="42">
      <c r="A50" s="9">
        <f>Inicio!$B$9</f>
        <v/>
      </c>
      <c r="B50" s="23">
        <f t="array" ref="B50">INDEX(Resultados!$B$16:$F$18,$B$37,2)-INDEX(Resultados!$B$16:$F$18,1,2)</f>
        <v/>
      </c>
      <c r="C50" s="23">
        <f t="array" ref="C50">INDEX(Resultados!$B$16:$F$18,$B$37,2)-INDEX(Resultados!$B$16:$F$18,2,2)</f>
        <v/>
      </c>
      <c r="D50" s="23">
        <f t="array" ref="D50">INDEX(Resultados!$B$16:$F$18,$B$37,2)-INDEX(Resultados!$B$16:$F$18,3,2)</f>
        <v/>
      </c>
    </row>
    <row r="51" ht="15.75" customHeight="1" s="42">
      <c r="A51" s="9">
        <f>Inicio!$B$10</f>
        <v/>
      </c>
      <c r="B51" s="23">
        <f t="array" ref="B51">INDEX(Resultados!$B$16:$F$18,$B$37,3)-INDEX(Resultados!$B$16:$F$18,1,3)</f>
        <v/>
      </c>
      <c r="C51" s="23">
        <f t="array" ref="C51">INDEX(Resultados!$B$16:$F$18,$B$37,3)-INDEX(Resultados!$B$16:$F$18,2,3)</f>
        <v/>
      </c>
      <c r="D51" s="23">
        <f t="array" ref="D51">INDEX(Resultados!$B$16:$F$18,$B$37,3)-INDEX(Resultados!$B$16:$F$18,3,3)</f>
        <v/>
      </c>
    </row>
    <row r="52" ht="15.75" customHeight="1" s="42">
      <c r="A52" s="9">
        <f>Inicio!$B$11</f>
        <v/>
      </c>
      <c r="B52" s="23">
        <f t="array" ref="B52">INDEX(Resultados!$B$16:$F$18,$B$37,4)-INDEX(Resultados!$B$16:$F$18,1,4)</f>
        <v/>
      </c>
      <c r="C52" s="23">
        <f t="array" ref="C52">INDEX(Resultados!$B$16:$F$18,$B$37,4)-INDEX(Resultados!$B$16:$F$18,2,4)</f>
        <v/>
      </c>
      <c r="D52" s="23">
        <f t="array" ref="D52">INDEX(Resultados!$B$16:$F$18,$B$37,4)-INDEX(Resultados!$B$16:$F$18,3,4)</f>
        <v/>
      </c>
    </row>
    <row r="53" ht="15.75" customHeight="1" s="42">
      <c r="A53" s="9">
        <f>Inicio!$B$12</f>
        <v/>
      </c>
      <c r="B53" s="23">
        <f t="array" ref="B53">INDEX(Resultados!$B$16:$F$18,$B$37,5)-INDEX(Resultados!$B$16:$F$18,1,5)</f>
        <v/>
      </c>
      <c r="C53" s="23">
        <f t="array" ref="C53">INDEX(Resultados!$B$16:$F$18,$B$37,5)-INDEX(Resultados!$B$16:$F$18,2,5)</f>
        <v/>
      </c>
      <c r="D53" s="23">
        <f t="array" ref="D53">INDEX(Resultados!$B$16:$F$18,$B$37,5)-INDEX(Resultados!$B$16:$F$18,3,5)</f>
        <v/>
      </c>
    </row>
    <row r="54" ht="15.75" customHeight="1" s="42"/>
    <row r="55" ht="15.75" customHeight="1" s="42">
      <c r="A55" s="6" t="inlineStr">
        <is>
          <t>d0 por criterio</t>
        </is>
      </c>
      <c r="B55" s="6">
        <f>"vs "&amp;Inicio!$A$16</f>
        <v/>
      </c>
      <c r="C55" s="6">
        <f>"vs "&amp;Inicio!$A$17</f>
        <v/>
      </c>
      <c r="D55" s="6">
        <f>"vs "&amp;Inicio!$A$18</f>
        <v/>
      </c>
    </row>
    <row r="56" ht="15.75" customHeight="1" s="42">
      <c r="A56" s="9">
        <f>Inicio!$B$8</f>
        <v/>
      </c>
      <c r="B56" s="23">
        <f t="array" ref="B56">IFERROR(((INDEX(Resultados!$G$16:$G$18,$B$37)-INDEX(Resultados!$B$15:$F$15,1)*INDEX(Resultados!$B$16:$F$18,$B$37,1))-(INDEX(Resultados!$G$16:$G$18,1)-INDEX(Resultados!$B$15:$F$15,1)*INDEX(Resultados!$B$16:$F$18,1,1)))/(1-INDEX(Resultados!$B$15:$F$15,1)),0)</f>
        <v/>
      </c>
      <c r="C56" s="23">
        <f t="array" ref="C56">IFERROR(((INDEX(Resultados!$G$16:$G$18,$B$37)-INDEX(Resultados!$B$15:$F$15,1)*INDEX(Resultados!$B$16:$F$18,$B$37,1))-(INDEX(Resultados!$G$16:$G$18,2)-INDEX(Resultados!$B$15:$F$15,1)*INDEX(Resultados!$B$16:$F$18,2,1)))/(1-INDEX(Resultados!$B$15:$F$15,1)),0)</f>
        <v/>
      </c>
      <c r="D56" s="23">
        <f t="array" ref="D56">IFERROR(((INDEX(Resultados!$G$16:$G$18,$B$37)-INDEX(Resultados!$B$15:$F$15,1)*INDEX(Resultados!$B$16:$F$18,$B$37,1))-(INDEX(Resultados!$G$16:$G$18,3)-INDEX(Resultados!$B$15:$F$15,1)*INDEX(Resultados!$B$16:$F$18,3,1)))/(1-INDEX(Resultados!$B$15:$F$15,1)),0)</f>
        <v/>
      </c>
    </row>
    <row r="57" ht="15.75" customHeight="1" s="42">
      <c r="A57" s="9">
        <f>Inicio!$B$9</f>
        <v/>
      </c>
      <c r="B57" s="23">
        <f t="array" ref="B57">IFERROR(((INDEX(Resultados!$G$16:$G$18,$B$37)-INDEX(Resultados!$B$15:$F$15,2)*INDEX(Resultados!$B$16:$F$18,$B$37,2))-(INDEX(Resultados!$G$16:$G$18,1)-INDEX(Resultados!$B$15:$F$15,2)*INDEX(Resultados!$B$16:$F$18,1,2)))/(1-INDEX(Resultados!$B$15:$F$15,2)),0)</f>
        <v/>
      </c>
      <c r="C57" s="23">
        <f t="array" ref="C57">IFERROR(((INDEX(Resultados!$G$16:$G$18,$B$37)-INDEX(Resultados!$B$15:$F$15,2)*INDEX(Resultados!$B$16:$F$18,$B$37,2))-(INDEX(Resultados!$G$16:$G$18,2)-INDEX(Resultados!$B$15:$F$15,2)*INDEX(Resultados!$B$16:$F$18,2,2)))/(1-INDEX(Resultados!$B$15:$F$15,2)),0)</f>
        <v/>
      </c>
      <c r="D57" s="23">
        <f t="array" ref="D57">IFERROR(((INDEX(Resultados!$G$16:$G$18,$B$37)-INDEX(Resultados!$B$15:$F$15,2)*INDEX(Resultados!$B$16:$F$18,$B$37,2))-(INDEX(Resultados!$G$16:$G$18,3)-INDEX(Resultados!$B$15:$F$15,2)*INDEX(Resultados!$B$16:$F$18,3,2)))/(1-INDEX(Resultados!$B$15:$F$15,2)),0)</f>
        <v/>
      </c>
    </row>
    <row r="58" ht="15.75" customHeight="1" s="42">
      <c r="A58" s="9">
        <f>Inicio!$B$10</f>
        <v/>
      </c>
      <c r="B58" s="23">
        <f t="array" ref="B58">IFERROR(((INDEX(Resultados!$G$16:$G$18,$B$37)-INDEX(Resultados!$B$15:$F$15,3)*INDEX(Resultados!$B$16:$F$18,$B$37,3))-(INDEX(Resultados!$G$16:$G$18,1)-INDEX(Resultados!$B$15:$F$15,3)*INDEX(Resultados!$B$16:$F$18,1,3)))/(1-INDEX(Resultados!$B$15:$F$15,3)),0)</f>
        <v/>
      </c>
      <c r="C58" s="23">
        <f t="array" ref="C58">IFERROR(((INDEX(Resultados!$G$16:$G$18,$B$37)-INDEX(Resultados!$B$15:$F$15,3)*INDEX(Resultados!$B$16:$F$18,$B$37,3))-(INDEX(Resultados!$G$16:$G$18,2)-INDEX(Resultados!$B$15:$F$15,3)*INDEX(Resultados!$B$16:$F$18,2,3)))/(1-INDEX(Resultados!$B$15:$F$15,3)),0)</f>
        <v/>
      </c>
      <c r="D58" s="23">
        <f t="array" ref="D58">IFERROR(((INDEX(Resultados!$G$16:$G$18,$B$37)-INDEX(Resultados!$B$15:$F$15,3)*INDEX(Resultados!$B$16:$F$18,$B$37,3))-(INDEX(Resultados!$G$16:$G$18,3)-INDEX(Resultados!$B$15:$F$15,3)*INDEX(Resultados!$B$16:$F$18,3,3)))/(1-INDEX(Resultados!$B$15:$F$15,3)),0)</f>
        <v/>
      </c>
    </row>
    <row r="59" ht="15.75" customHeight="1" s="42">
      <c r="A59" s="9">
        <f>Inicio!$B$11</f>
        <v/>
      </c>
      <c r="B59" s="23">
        <f t="array" ref="B59">IFERROR(((INDEX(Resultados!$G$16:$G$18,$B$37)-INDEX(Resultados!$B$15:$F$15,4)*INDEX(Resultados!$B$16:$F$18,$B$37,4))-(INDEX(Resultados!$G$16:$G$18,1)-INDEX(Resultados!$B$15:$F$15,4)*INDEX(Resultados!$B$16:$F$18,1,4)))/(1-INDEX(Resultados!$B$15:$F$15,4)),0)</f>
        <v/>
      </c>
      <c r="C59" s="23">
        <f t="array" ref="C59">IFERROR(((INDEX(Resultados!$G$16:$G$18,$B$37)-INDEX(Resultados!$B$15:$F$15,4)*INDEX(Resultados!$B$16:$F$18,$B$37,4))-(INDEX(Resultados!$G$16:$G$18,2)-INDEX(Resultados!$B$15:$F$15,4)*INDEX(Resultados!$B$16:$F$18,2,4)))/(1-INDEX(Resultados!$B$15:$F$15,4)),0)</f>
        <v/>
      </c>
      <c r="D59" s="23">
        <f t="array" ref="D59">IFERROR(((INDEX(Resultados!$G$16:$G$18,$B$37)-INDEX(Resultados!$B$15:$F$15,4)*INDEX(Resultados!$B$16:$F$18,$B$37,4))-(INDEX(Resultados!$G$16:$G$18,3)-INDEX(Resultados!$B$15:$F$15,4)*INDEX(Resultados!$B$16:$F$18,3,4)))/(1-INDEX(Resultados!$B$15:$F$15,4)),0)</f>
        <v/>
      </c>
    </row>
    <row r="60" ht="15.75" customHeight="1" s="42">
      <c r="A60" s="9">
        <f>Inicio!$B$12</f>
        <v/>
      </c>
      <c r="B60" s="23">
        <f t="array" ref="B60">IFERROR(((INDEX(Resultados!$G$16:$G$18,$B$37)-INDEX(Resultados!$B$15:$F$15,5)*INDEX(Resultados!$B$16:$F$18,$B$37,5))-(INDEX(Resultados!$G$16:$G$18,1)-INDEX(Resultados!$B$15:$F$15,5)*INDEX(Resultados!$B$16:$F$18,1,5)))/(1-INDEX(Resultados!$B$15:$F$15,5)),0)</f>
        <v/>
      </c>
      <c r="C60" s="23">
        <f t="array" ref="C60">IFERROR(((INDEX(Resultados!$G$16:$G$18,$B$37)-INDEX(Resultados!$B$15:$F$15,5)*INDEX(Resultados!$B$16:$F$18,$B$37,5))-(INDEX(Resultados!$G$16:$G$18,2)-INDEX(Resultados!$B$15:$F$15,5)*INDEX(Resultados!$B$16:$F$18,2,5)))/(1-INDEX(Resultados!$B$15:$F$15,5)),0)</f>
        <v/>
      </c>
      <c r="D60" s="23">
        <f t="array" ref="D60">IFERROR(((INDEX(Resultados!$G$16:$G$18,$B$37)-INDEX(Resultados!$B$15:$F$15,5)*INDEX(Resultados!$B$16:$F$18,$B$37,5))-(INDEX(Resultados!$G$16:$G$18,3)-INDEX(Resultados!$B$15:$F$15,5)*INDEX(Resultados!$B$16:$F$18,3,5)))/(1-INDEX(Resultados!$B$15:$F$15,5)),0)</f>
        <v/>
      </c>
    </row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mergeCells count="2">
    <mergeCell ref="A12:E12"/>
    <mergeCell ref="F12:H12"/>
  </mergeCells>
  <pageMargins left="0.75" right="0.75" top="1" bottom="1" header="0" footer="0"/>
  <pageSetup orientation="portrait" paperSize="9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selection activeCell="A1" sqref="A1"/>
    </sheetView>
  </sheetViews>
  <sheetFormatPr baseColWidth="8" defaultColWidth="14.43" defaultRowHeight="15" customHeight="1"/>
  <cols>
    <col width="18" customWidth="1" style="42" min="1" max="1"/>
    <col width="14" customWidth="1" style="42" min="2" max="6"/>
    <col width="8.710000000000001" customWidth="1" style="42" min="7" max="26"/>
  </cols>
  <sheetData>
    <row r="1">
      <c r="A1" s="1" t="inlineStr">
        <is>
          <t>Barrido de un criterio de 0 % a 100 %</t>
        </is>
      </c>
    </row>
    <row r="2">
      <c r="A2" s="35" t="inlineStr">
        <is>
          <t>Para cada criterio se varía su peso y los demás se reparten el resto en proporción a sus pesos base. Celda roja en 'Ganador' = el ganador base es superado.</t>
        </is>
      </c>
    </row>
    <row r="4">
      <c r="A4" s="24">
        <f>"Criterio: "&amp;Inicio!$B$8&amp;"   (peso base: "&amp;TEXT(Resultados!B15,"0.0%")&amp;")"</f>
        <v/>
      </c>
    </row>
    <row r="5">
      <c r="A5" s="6" t="inlineStr">
        <is>
          <t>Peso del criterio</t>
        </is>
      </c>
      <c r="B5" s="6">
        <f>"Puntaje "&amp;Inicio!$A$16</f>
        <v/>
      </c>
      <c r="C5" s="6">
        <f>"Puntaje "&amp;Inicio!$A$17</f>
        <v/>
      </c>
      <c r="D5" s="6">
        <f>"Puntaje "&amp;Inicio!$A$18</f>
        <v/>
      </c>
      <c r="E5" s="6" t="inlineStr">
        <is>
          <t>Ganador</t>
        </is>
      </c>
    </row>
    <row r="6">
      <c r="A6" s="39" t="n">
        <v>0</v>
      </c>
      <c r="B6" s="28">
        <f>$A6*Resultados!$B$16+(1-$A6)*(Resultados!$G$16-Resultados!$B$15*Resultados!$B$16)/(1-Resultados!$B$15)</f>
        <v/>
      </c>
      <c r="C6" s="28">
        <f>$A6*Resultados!$B$17+(1-$A6)*(Resultados!$G$17-Resultados!$B$15*Resultados!$B$17)/(1-Resultados!$B$15)</f>
        <v/>
      </c>
      <c r="D6" s="28">
        <f>$A6*Resultados!$B$18+(1-$A6)*(Resultados!$G$18-Resultados!$B$15*Resultados!$B$18)/(1-Resultados!$B$15)</f>
        <v/>
      </c>
      <c r="E6" s="36">
        <f t="array" ref="E6">IF(INDEX(B6:D6,Sensibilidad!$B$37)&gt;=MAX(B6:D6)-0.0000001,Sensibilidad!$C$37,INDEX(Inicio!$A$16:$A$18,MATCH(MAX(B6:D6),B6:D6,0)))</f>
        <v/>
      </c>
    </row>
    <row r="7">
      <c r="A7" s="39" t="n">
        <v>0.05</v>
      </c>
      <c r="B7" s="28">
        <f>$A7*Resultados!$B$16+(1-$A7)*(Resultados!$G$16-Resultados!$B$15*Resultados!$B$16)/(1-Resultados!$B$15)</f>
        <v/>
      </c>
      <c r="C7" s="28">
        <f>$A7*Resultados!$B$17+(1-$A7)*(Resultados!$G$17-Resultados!$B$15*Resultados!$B$17)/(1-Resultados!$B$15)</f>
        <v/>
      </c>
      <c r="D7" s="28">
        <f>$A7*Resultados!$B$18+(1-$A7)*(Resultados!$G$18-Resultados!$B$15*Resultados!$B$18)/(1-Resultados!$B$15)</f>
        <v/>
      </c>
      <c r="E7" s="36">
        <f t="array" ref="E7">IF(INDEX(B7:D7,Sensibilidad!$B$37)&gt;=MAX(B7:D7)-0.0000001,Sensibilidad!$C$37,INDEX(Inicio!$A$16:$A$18,MATCH(MAX(B7:D7),B7:D7,0)))</f>
        <v/>
      </c>
    </row>
    <row r="8">
      <c r="A8" s="39" t="n">
        <v>0.1</v>
      </c>
      <c r="B8" s="28">
        <f>$A8*Resultados!$B$16+(1-$A8)*(Resultados!$G$16-Resultados!$B$15*Resultados!$B$16)/(1-Resultados!$B$15)</f>
        <v/>
      </c>
      <c r="C8" s="28">
        <f>$A8*Resultados!$B$17+(1-$A8)*(Resultados!$G$17-Resultados!$B$15*Resultados!$B$17)/(1-Resultados!$B$15)</f>
        <v/>
      </c>
      <c r="D8" s="28">
        <f>$A8*Resultados!$B$18+(1-$A8)*(Resultados!$G$18-Resultados!$B$15*Resultados!$B$18)/(1-Resultados!$B$15)</f>
        <v/>
      </c>
      <c r="E8" s="36">
        <f t="array" ref="E8">IF(INDEX(B8:D8,Sensibilidad!$B$37)&gt;=MAX(B8:D8)-0.0000001,Sensibilidad!$C$37,INDEX(Inicio!$A$16:$A$18,MATCH(MAX(B8:D8),B8:D8,0)))</f>
        <v/>
      </c>
    </row>
    <row r="9">
      <c r="A9" s="39" t="n">
        <v>0.15</v>
      </c>
      <c r="B9" s="28">
        <f>$A9*Resultados!$B$16+(1-$A9)*(Resultados!$G$16-Resultados!$B$15*Resultados!$B$16)/(1-Resultados!$B$15)</f>
        <v/>
      </c>
      <c r="C9" s="28">
        <f>$A9*Resultados!$B$17+(1-$A9)*(Resultados!$G$17-Resultados!$B$15*Resultados!$B$17)/(1-Resultados!$B$15)</f>
        <v/>
      </c>
      <c r="D9" s="28">
        <f>$A9*Resultados!$B$18+(1-$A9)*(Resultados!$G$18-Resultados!$B$15*Resultados!$B$18)/(1-Resultados!$B$15)</f>
        <v/>
      </c>
      <c r="E9" s="36">
        <f t="array" ref="E9">IF(INDEX(B9:D9,Sensibilidad!$B$37)&gt;=MAX(B9:D9)-0.0000001,Sensibilidad!$C$37,INDEX(Inicio!$A$16:$A$18,MATCH(MAX(B9:D9),B9:D9,0)))</f>
        <v/>
      </c>
    </row>
    <row r="10">
      <c r="A10" s="39" t="n">
        <v>0.2</v>
      </c>
      <c r="B10" s="28">
        <f>$A10*Resultados!$B$16+(1-$A10)*(Resultados!$G$16-Resultados!$B$15*Resultados!$B$16)/(1-Resultados!$B$15)</f>
        <v/>
      </c>
      <c r="C10" s="28">
        <f>$A10*Resultados!$B$17+(1-$A10)*(Resultados!$G$17-Resultados!$B$15*Resultados!$B$17)/(1-Resultados!$B$15)</f>
        <v/>
      </c>
      <c r="D10" s="28">
        <f>$A10*Resultados!$B$18+(1-$A10)*(Resultados!$G$18-Resultados!$B$15*Resultados!$B$18)/(1-Resultados!$B$15)</f>
        <v/>
      </c>
      <c r="E10" s="36">
        <f t="array" ref="E10">IF(INDEX(B10:D10,Sensibilidad!$B$37)&gt;=MAX(B10:D10)-0.0000001,Sensibilidad!$C$37,INDEX(Inicio!$A$16:$A$18,MATCH(MAX(B10:D10),B10:D10,0)))</f>
        <v/>
      </c>
    </row>
    <row r="11">
      <c r="A11" s="39" t="n">
        <v>0.25</v>
      </c>
      <c r="B11" s="28">
        <f>$A11*Resultados!$B$16+(1-$A11)*(Resultados!$G$16-Resultados!$B$15*Resultados!$B$16)/(1-Resultados!$B$15)</f>
        <v/>
      </c>
      <c r="C11" s="28">
        <f>$A11*Resultados!$B$17+(1-$A11)*(Resultados!$G$17-Resultados!$B$15*Resultados!$B$17)/(1-Resultados!$B$15)</f>
        <v/>
      </c>
      <c r="D11" s="28">
        <f>$A11*Resultados!$B$18+(1-$A11)*(Resultados!$G$18-Resultados!$B$15*Resultados!$B$18)/(1-Resultados!$B$15)</f>
        <v/>
      </c>
      <c r="E11" s="36">
        <f t="array" ref="E11">IF(INDEX(B11:D11,Sensibilidad!$B$37)&gt;=MAX(B11:D11)-0.0000001,Sensibilidad!$C$37,INDEX(Inicio!$A$16:$A$18,MATCH(MAX(B11:D11),B11:D11,0)))</f>
        <v/>
      </c>
    </row>
    <row r="12">
      <c r="A12" s="39" t="n">
        <v>0.3</v>
      </c>
      <c r="B12" s="28">
        <f>$A12*Resultados!$B$16+(1-$A12)*(Resultados!$G$16-Resultados!$B$15*Resultados!$B$16)/(1-Resultados!$B$15)</f>
        <v/>
      </c>
      <c r="C12" s="28">
        <f>$A12*Resultados!$B$17+(1-$A12)*(Resultados!$G$17-Resultados!$B$15*Resultados!$B$17)/(1-Resultados!$B$15)</f>
        <v/>
      </c>
      <c r="D12" s="28">
        <f>$A12*Resultados!$B$18+(1-$A12)*(Resultados!$G$18-Resultados!$B$15*Resultados!$B$18)/(1-Resultados!$B$15)</f>
        <v/>
      </c>
      <c r="E12" s="36">
        <f t="array" ref="E12">IF(INDEX(B12:D12,Sensibilidad!$B$37)&gt;=MAX(B12:D12)-0.0000001,Sensibilidad!$C$37,INDEX(Inicio!$A$16:$A$18,MATCH(MAX(B12:D12),B12:D12,0)))</f>
        <v/>
      </c>
    </row>
    <row r="13">
      <c r="A13" s="39" t="n">
        <v>0.35</v>
      </c>
      <c r="B13" s="28">
        <f>$A13*Resultados!$B$16+(1-$A13)*(Resultados!$G$16-Resultados!$B$15*Resultados!$B$16)/(1-Resultados!$B$15)</f>
        <v/>
      </c>
      <c r="C13" s="28">
        <f>$A13*Resultados!$B$17+(1-$A13)*(Resultados!$G$17-Resultados!$B$15*Resultados!$B$17)/(1-Resultados!$B$15)</f>
        <v/>
      </c>
      <c r="D13" s="28">
        <f>$A13*Resultados!$B$18+(1-$A13)*(Resultados!$G$18-Resultados!$B$15*Resultados!$B$18)/(1-Resultados!$B$15)</f>
        <v/>
      </c>
      <c r="E13" s="36">
        <f t="array" ref="E13">IF(INDEX(B13:D13,Sensibilidad!$B$37)&gt;=MAX(B13:D13)-0.0000001,Sensibilidad!$C$37,INDEX(Inicio!$A$16:$A$18,MATCH(MAX(B13:D13),B13:D13,0)))</f>
        <v/>
      </c>
    </row>
    <row r="14">
      <c r="A14" s="39" t="n">
        <v>0.4</v>
      </c>
      <c r="B14" s="28">
        <f>$A14*Resultados!$B$16+(1-$A14)*(Resultados!$G$16-Resultados!$B$15*Resultados!$B$16)/(1-Resultados!$B$15)</f>
        <v/>
      </c>
      <c r="C14" s="28">
        <f>$A14*Resultados!$B$17+(1-$A14)*(Resultados!$G$17-Resultados!$B$15*Resultados!$B$17)/(1-Resultados!$B$15)</f>
        <v/>
      </c>
      <c r="D14" s="28">
        <f>$A14*Resultados!$B$18+(1-$A14)*(Resultados!$G$18-Resultados!$B$15*Resultados!$B$18)/(1-Resultados!$B$15)</f>
        <v/>
      </c>
      <c r="E14" s="36">
        <f t="array" ref="E14">IF(INDEX(B14:D14,Sensibilidad!$B$37)&gt;=MAX(B14:D14)-0.0000001,Sensibilidad!$C$37,INDEX(Inicio!$A$16:$A$18,MATCH(MAX(B14:D14),B14:D14,0)))</f>
        <v/>
      </c>
    </row>
    <row r="15">
      <c r="A15" s="39" t="n">
        <v>0.45</v>
      </c>
      <c r="B15" s="28">
        <f>$A15*Resultados!$B$16+(1-$A15)*(Resultados!$G$16-Resultados!$B$15*Resultados!$B$16)/(1-Resultados!$B$15)</f>
        <v/>
      </c>
      <c r="C15" s="28">
        <f>$A15*Resultados!$B$17+(1-$A15)*(Resultados!$G$17-Resultados!$B$15*Resultados!$B$17)/(1-Resultados!$B$15)</f>
        <v/>
      </c>
      <c r="D15" s="28">
        <f>$A15*Resultados!$B$18+(1-$A15)*(Resultados!$G$18-Resultados!$B$15*Resultados!$B$18)/(1-Resultados!$B$15)</f>
        <v/>
      </c>
      <c r="E15" s="36">
        <f t="array" ref="E15">IF(INDEX(B15:D15,Sensibilidad!$B$37)&gt;=MAX(B15:D15)-0.0000001,Sensibilidad!$C$37,INDEX(Inicio!$A$16:$A$18,MATCH(MAX(B15:D15),B15:D15,0)))</f>
        <v/>
      </c>
    </row>
    <row r="16">
      <c r="A16" s="39" t="n">
        <v>0.5</v>
      </c>
      <c r="B16" s="28">
        <f>$A16*Resultados!$B$16+(1-$A16)*(Resultados!$G$16-Resultados!$B$15*Resultados!$B$16)/(1-Resultados!$B$15)</f>
        <v/>
      </c>
      <c r="C16" s="28">
        <f>$A16*Resultados!$B$17+(1-$A16)*(Resultados!$G$17-Resultados!$B$15*Resultados!$B$17)/(1-Resultados!$B$15)</f>
        <v/>
      </c>
      <c r="D16" s="28">
        <f>$A16*Resultados!$B$18+(1-$A16)*(Resultados!$G$18-Resultados!$B$15*Resultados!$B$18)/(1-Resultados!$B$15)</f>
        <v/>
      </c>
      <c r="E16" s="36">
        <f t="array" ref="E16">IF(INDEX(B16:D16,Sensibilidad!$B$37)&gt;=MAX(B16:D16)-0.0000001,Sensibilidad!$C$37,INDEX(Inicio!$A$16:$A$18,MATCH(MAX(B16:D16),B16:D16,0)))</f>
        <v/>
      </c>
    </row>
    <row r="17">
      <c r="A17" s="39" t="n">
        <v>0.55</v>
      </c>
      <c r="B17" s="28">
        <f>$A17*Resultados!$B$16+(1-$A17)*(Resultados!$G$16-Resultados!$B$15*Resultados!$B$16)/(1-Resultados!$B$15)</f>
        <v/>
      </c>
      <c r="C17" s="28">
        <f>$A17*Resultados!$B$17+(1-$A17)*(Resultados!$G$17-Resultados!$B$15*Resultados!$B$17)/(1-Resultados!$B$15)</f>
        <v/>
      </c>
      <c r="D17" s="28">
        <f>$A17*Resultados!$B$18+(1-$A17)*(Resultados!$G$18-Resultados!$B$15*Resultados!$B$18)/(1-Resultados!$B$15)</f>
        <v/>
      </c>
      <c r="E17" s="36">
        <f t="array" ref="E17">IF(INDEX(B17:D17,Sensibilidad!$B$37)&gt;=MAX(B17:D17)-0.0000001,Sensibilidad!$C$37,INDEX(Inicio!$A$16:$A$18,MATCH(MAX(B17:D17),B17:D17,0)))</f>
        <v/>
      </c>
    </row>
    <row r="18">
      <c r="A18" s="39" t="n">
        <v>0.6</v>
      </c>
      <c r="B18" s="28">
        <f>$A18*Resultados!$B$16+(1-$A18)*(Resultados!$G$16-Resultados!$B$15*Resultados!$B$16)/(1-Resultados!$B$15)</f>
        <v/>
      </c>
      <c r="C18" s="28">
        <f>$A18*Resultados!$B$17+(1-$A18)*(Resultados!$G$17-Resultados!$B$15*Resultados!$B$17)/(1-Resultados!$B$15)</f>
        <v/>
      </c>
      <c r="D18" s="28">
        <f>$A18*Resultados!$B$18+(1-$A18)*(Resultados!$G$18-Resultados!$B$15*Resultados!$B$18)/(1-Resultados!$B$15)</f>
        <v/>
      </c>
      <c r="E18" s="36">
        <f t="array" ref="E18">IF(INDEX(B18:D18,Sensibilidad!$B$37)&gt;=MAX(B18:D18)-0.0000001,Sensibilidad!$C$37,INDEX(Inicio!$A$16:$A$18,MATCH(MAX(B18:D18),B18:D18,0)))</f>
        <v/>
      </c>
    </row>
    <row r="19">
      <c r="A19" s="39" t="n">
        <v>0.65</v>
      </c>
      <c r="B19" s="28">
        <f>$A19*Resultados!$B$16+(1-$A19)*(Resultados!$G$16-Resultados!$B$15*Resultados!$B$16)/(1-Resultados!$B$15)</f>
        <v/>
      </c>
      <c r="C19" s="28">
        <f>$A19*Resultados!$B$17+(1-$A19)*(Resultados!$G$17-Resultados!$B$15*Resultados!$B$17)/(1-Resultados!$B$15)</f>
        <v/>
      </c>
      <c r="D19" s="28">
        <f>$A19*Resultados!$B$18+(1-$A19)*(Resultados!$G$18-Resultados!$B$15*Resultados!$B$18)/(1-Resultados!$B$15)</f>
        <v/>
      </c>
      <c r="E19" s="36">
        <f t="array" ref="E19">IF(INDEX(B19:D19,Sensibilidad!$B$37)&gt;=MAX(B19:D19)-0.0000001,Sensibilidad!$C$37,INDEX(Inicio!$A$16:$A$18,MATCH(MAX(B19:D19),B19:D19,0)))</f>
        <v/>
      </c>
    </row>
    <row r="20">
      <c r="A20" s="39" t="n">
        <v>0.7</v>
      </c>
      <c r="B20" s="28">
        <f>$A20*Resultados!$B$16+(1-$A20)*(Resultados!$G$16-Resultados!$B$15*Resultados!$B$16)/(1-Resultados!$B$15)</f>
        <v/>
      </c>
      <c r="C20" s="28">
        <f>$A20*Resultados!$B$17+(1-$A20)*(Resultados!$G$17-Resultados!$B$15*Resultados!$B$17)/(1-Resultados!$B$15)</f>
        <v/>
      </c>
      <c r="D20" s="28">
        <f>$A20*Resultados!$B$18+(1-$A20)*(Resultados!$G$18-Resultados!$B$15*Resultados!$B$18)/(1-Resultados!$B$15)</f>
        <v/>
      </c>
      <c r="E20" s="36">
        <f t="array" ref="E20">IF(INDEX(B20:D20,Sensibilidad!$B$37)&gt;=MAX(B20:D20)-0.0000001,Sensibilidad!$C$37,INDEX(Inicio!$A$16:$A$18,MATCH(MAX(B20:D20),B20:D20,0)))</f>
        <v/>
      </c>
    </row>
    <row r="21" ht="15.75" customHeight="1" s="42">
      <c r="A21" s="39" t="n">
        <v>0.75</v>
      </c>
      <c r="B21" s="28">
        <f>$A21*Resultados!$B$16+(1-$A21)*(Resultados!$G$16-Resultados!$B$15*Resultados!$B$16)/(1-Resultados!$B$15)</f>
        <v/>
      </c>
      <c r="C21" s="28">
        <f>$A21*Resultados!$B$17+(1-$A21)*(Resultados!$G$17-Resultados!$B$15*Resultados!$B$17)/(1-Resultados!$B$15)</f>
        <v/>
      </c>
      <c r="D21" s="28">
        <f>$A21*Resultados!$B$18+(1-$A21)*(Resultados!$G$18-Resultados!$B$15*Resultados!$B$18)/(1-Resultados!$B$15)</f>
        <v/>
      </c>
      <c r="E21" s="36">
        <f t="array" ref="E21">IF(INDEX(B21:D21,Sensibilidad!$B$37)&gt;=MAX(B21:D21)-0.0000001,Sensibilidad!$C$37,INDEX(Inicio!$A$16:$A$18,MATCH(MAX(B21:D21),B21:D21,0)))</f>
        <v/>
      </c>
    </row>
    <row r="22" ht="15.75" customHeight="1" s="42">
      <c r="A22" s="39" t="n">
        <v>0.8</v>
      </c>
      <c r="B22" s="28">
        <f>$A22*Resultados!$B$16+(1-$A22)*(Resultados!$G$16-Resultados!$B$15*Resultados!$B$16)/(1-Resultados!$B$15)</f>
        <v/>
      </c>
      <c r="C22" s="28">
        <f>$A22*Resultados!$B$17+(1-$A22)*(Resultados!$G$17-Resultados!$B$15*Resultados!$B$17)/(1-Resultados!$B$15)</f>
        <v/>
      </c>
      <c r="D22" s="28">
        <f>$A22*Resultados!$B$18+(1-$A22)*(Resultados!$G$18-Resultados!$B$15*Resultados!$B$18)/(1-Resultados!$B$15)</f>
        <v/>
      </c>
      <c r="E22" s="36">
        <f t="array" ref="E22">IF(INDEX(B22:D22,Sensibilidad!$B$37)&gt;=MAX(B22:D22)-0.0000001,Sensibilidad!$C$37,INDEX(Inicio!$A$16:$A$18,MATCH(MAX(B22:D22),B22:D22,0)))</f>
        <v/>
      </c>
    </row>
    <row r="23" ht="15.75" customHeight="1" s="42">
      <c r="A23" s="39" t="n">
        <v>0.85</v>
      </c>
      <c r="B23" s="28">
        <f>$A23*Resultados!$B$16+(1-$A23)*(Resultados!$G$16-Resultados!$B$15*Resultados!$B$16)/(1-Resultados!$B$15)</f>
        <v/>
      </c>
      <c r="C23" s="28">
        <f>$A23*Resultados!$B$17+(1-$A23)*(Resultados!$G$17-Resultados!$B$15*Resultados!$B$17)/(1-Resultados!$B$15)</f>
        <v/>
      </c>
      <c r="D23" s="28">
        <f>$A23*Resultados!$B$18+(1-$A23)*(Resultados!$G$18-Resultados!$B$15*Resultados!$B$18)/(1-Resultados!$B$15)</f>
        <v/>
      </c>
      <c r="E23" s="36">
        <f t="array" ref="E23">IF(INDEX(B23:D23,Sensibilidad!$B$37)&gt;=MAX(B23:D23)-0.0000001,Sensibilidad!$C$37,INDEX(Inicio!$A$16:$A$18,MATCH(MAX(B23:D23),B23:D23,0)))</f>
        <v/>
      </c>
    </row>
    <row r="24" ht="15.75" customHeight="1" s="42">
      <c r="A24" s="39" t="n">
        <v>0.9</v>
      </c>
      <c r="B24" s="28">
        <f>$A24*Resultados!$B$16+(1-$A24)*(Resultados!$G$16-Resultados!$B$15*Resultados!$B$16)/(1-Resultados!$B$15)</f>
        <v/>
      </c>
      <c r="C24" s="28">
        <f>$A24*Resultados!$B$17+(1-$A24)*(Resultados!$G$17-Resultados!$B$15*Resultados!$B$17)/(1-Resultados!$B$15)</f>
        <v/>
      </c>
      <c r="D24" s="28">
        <f>$A24*Resultados!$B$18+(1-$A24)*(Resultados!$G$18-Resultados!$B$15*Resultados!$B$18)/(1-Resultados!$B$15)</f>
        <v/>
      </c>
      <c r="E24" s="36">
        <f t="array" ref="E24">IF(INDEX(B24:D24,Sensibilidad!$B$37)&gt;=MAX(B24:D24)-0.0000001,Sensibilidad!$C$37,INDEX(Inicio!$A$16:$A$18,MATCH(MAX(B24:D24),B24:D24,0)))</f>
        <v/>
      </c>
    </row>
    <row r="25" ht="15.75" customHeight="1" s="42">
      <c r="A25" s="39" t="n">
        <v>0.95</v>
      </c>
      <c r="B25" s="28">
        <f>$A25*Resultados!$B$16+(1-$A25)*(Resultados!$G$16-Resultados!$B$15*Resultados!$B$16)/(1-Resultados!$B$15)</f>
        <v/>
      </c>
      <c r="C25" s="28">
        <f>$A25*Resultados!$B$17+(1-$A25)*(Resultados!$G$17-Resultados!$B$15*Resultados!$B$17)/(1-Resultados!$B$15)</f>
        <v/>
      </c>
      <c r="D25" s="28">
        <f>$A25*Resultados!$B$18+(1-$A25)*(Resultados!$G$18-Resultados!$B$15*Resultados!$B$18)/(1-Resultados!$B$15)</f>
        <v/>
      </c>
      <c r="E25" s="36">
        <f t="array" ref="E25">IF(INDEX(B25:D25,Sensibilidad!$B$37)&gt;=MAX(B25:D25)-0.0000001,Sensibilidad!$C$37,INDEX(Inicio!$A$16:$A$18,MATCH(MAX(B25:D25),B25:D25,0)))</f>
        <v/>
      </c>
    </row>
    <row r="26" ht="15.75" customHeight="1" s="42">
      <c r="A26" s="39" t="n">
        <v>1</v>
      </c>
      <c r="B26" s="28">
        <f>$A26*Resultados!$B$16+(1-$A26)*(Resultados!$G$16-Resultados!$B$15*Resultados!$B$16)/(1-Resultados!$B$15)</f>
        <v/>
      </c>
      <c r="C26" s="28">
        <f>$A26*Resultados!$B$17+(1-$A26)*(Resultados!$G$17-Resultados!$B$15*Resultados!$B$17)/(1-Resultados!$B$15)</f>
        <v/>
      </c>
      <c r="D26" s="28">
        <f>$A26*Resultados!$B$18+(1-$A26)*(Resultados!$G$18-Resultados!$B$15*Resultados!$B$18)/(1-Resultados!$B$15)</f>
        <v/>
      </c>
      <c r="E26" s="36">
        <f t="array" ref="E26">IF(INDEX(B26:D26,Sensibilidad!$B$37)&gt;=MAX(B26:D26)-0.0000001,Sensibilidad!$C$37,INDEX(Inicio!$A$16:$A$18,MATCH(MAX(B26:D26),B26:D26,0)))</f>
        <v/>
      </c>
    </row>
    <row r="27" ht="15.75" customHeight="1" s="42"/>
    <row r="28" ht="15.75" customHeight="1" s="42"/>
    <row r="29" ht="15.75" customHeight="1" s="42"/>
    <row r="30" ht="15.75" customHeight="1" s="42">
      <c r="A30" s="24">
        <f>"Criterio: "&amp;Inicio!$B$9&amp;"   (peso base: "&amp;TEXT(Resultados!C15,"0.0%")&amp;")"</f>
        <v/>
      </c>
    </row>
    <row r="31" ht="15.75" customHeight="1" s="42">
      <c r="A31" s="6" t="inlineStr">
        <is>
          <t>Peso del criterio</t>
        </is>
      </c>
      <c r="B31" s="6">
        <f>"Puntaje "&amp;Inicio!$A$16</f>
        <v/>
      </c>
      <c r="C31" s="6">
        <f>"Puntaje "&amp;Inicio!$A$17</f>
        <v/>
      </c>
      <c r="D31" s="6">
        <f>"Puntaje "&amp;Inicio!$A$18</f>
        <v/>
      </c>
      <c r="E31" s="6" t="inlineStr">
        <is>
          <t>Ganador</t>
        </is>
      </c>
    </row>
    <row r="32" ht="15.75" customHeight="1" s="42">
      <c r="A32" s="39" t="n">
        <v>0</v>
      </c>
      <c r="B32" s="28">
        <f>$A32*Resultados!$C$16+(1-$A32)*(Resultados!$G$16-Resultados!$C$15*Resultados!$C$16)/(1-Resultados!$C$15)</f>
        <v/>
      </c>
      <c r="C32" s="28">
        <f>$A32*Resultados!$C$17+(1-$A32)*(Resultados!$G$17-Resultados!$C$15*Resultados!$C$17)/(1-Resultados!$C$15)</f>
        <v/>
      </c>
      <c r="D32" s="28">
        <f>$A32*Resultados!$C$18+(1-$A32)*(Resultados!$G$18-Resultados!$C$15*Resultados!$C$18)/(1-Resultados!$C$15)</f>
        <v/>
      </c>
      <c r="E32" s="36">
        <f t="array" ref="E32">IF(INDEX(B32:D32,Sensibilidad!$B$37)&gt;=MAX(B32:D32)-0.0000001,Sensibilidad!$C$37,INDEX(Inicio!$A$16:$A$18,MATCH(MAX(B32:D32),B32:D32,0)))</f>
        <v/>
      </c>
    </row>
    <row r="33" ht="15.75" customHeight="1" s="42">
      <c r="A33" s="39" t="n">
        <v>0.05</v>
      </c>
      <c r="B33" s="28">
        <f>$A33*Resultados!$C$16+(1-$A33)*(Resultados!$G$16-Resultados!$C$15*Resultados!$C$16)/(1-Resultados!$C$15)</f>
        <v/>
      </c>
      <c r="C33" s="28">
        <f>$A33*Resultados!$C$17+(1-$A33)*(Resultados!$G$17-Resultados!$C$15*Resultados!$C$17)/(1-Resultados!$C$15)</f>
        <v/>
      </c>
      <c r="D33" s="28">
        <f>$A33*Resultados!$C$18+(1-$A33)*(Resultados!$G$18-Resultados!$C$15*Resultados!$C$18)/(1-Resultados!$C$15)</f>
        <v/>
      </c>
      <c r="E33" s="36">
        <f t="array" ref="E33">IF(INDEX(B33:D33,Sensibilidad!$B$37)&gt;=MAX(B33:D33)-0.0000001,Sensibilidad!$C$37,INDEX(Inicio!$A$16:$A$18,MATCH(MAX(B33:D33),B33:D33,0)))</f>
        <v/>
      </c>
    </row>
    <row r="34" ht="15.75" customHeight="1" s="42">
      <c r="A34" s="39" t="n">
        <v>0.1</v>
      </c>
      <c r="B34" s="28">
        <f>$A34*Resultados!$C$16+(1-$A34)*(Resultados!$G$16-Resultados!$C$15*Resultados!$C$16)/(1-Resultados!$C$15)</f>
        <v/>
      </c>
      <c r="C34" s="28">
        <f>$A34*Resultados!$C$17+(1-$A34)*(Resultados!$G$17-Resultados!$C$15*Resultados!$C$17)/(1-Resultados!$C$15)</f>
        <v/>
      </c>
      <c r="D34" s="28">
        <f>$A34*Resultados!$C$18+(1-$A34)*(Resultados!$G$18-Resultados!$C$15*Resultados!$C$18)/(1-Resultados!$C$15)</f>
        <v/>
      </c>
      <c r="E34" s="36">
        <f t="array" ref="E34">IF(INDEX(B34:D34,Sensibilidad!$B$37)&gt;=MAX(B34:D34)-0.0000001,Sensibilidad!$C$37,INDEX(Inicio!$A$16:$A$18,MATCH(MAX(B34:D34),B34:D34,0)))</f>
        <v/>
      </c>
    </row>
    <row r="35" ht="15.75" customHeight="1" s="42">
      <c r="A35" s="39" t="n">
        <v>0.15</v>
      </c>
      <c r="B35" s="28">
        <f>$A35*Resultados!$C$16+(1-$A35)*(Resultados!$G$16-Resultados!$C$15*Resultados!$C$16)/(1-Resultados!$C$15)</f>
        <v/>
      </c>
      <c r="C35" s="28">
        <f>$A35*Resultados!$C$17+(1-$A35)*(Resultados!$G$17-Resultados!$C$15*Resultados!$C$17)/(1-Resultados!$C$15)</f>
        <v/>
      </c>
      <c r="D35" s="28">
        <f>$A35*Resultados!$C$18+(1-$A35)*(Resultados!$G$18-Resultados!$C$15*Resultados!$C$18)/(1-Resultados!$C$15)</f>
        <v/>
      </c>
      <c r="E35" s="36">
        <f t="array" ref="E35">IF(INDEX(B35:D35,Sensibilidad!$B$37)&gt;=MAX(B35:D35)-0.0000001,Sensibilidad!$C$37,INDEX(Inicio!$A$16:$A$18,MATCH(MAX(B35:D35),B35:D35,0)))</f>
        <v/>
      </c>
    </row>
    <row r="36" ht="15.75" customHeight="1" s="42">
      <c r="A36" s="39" t="n">
        <v>0.2</v>
      </c>
      <c r="B36" s="28">
        <f>$A36*Resultados!$C$16+(1-$A36)*(Resultados!$G$16-Resultados!$C$15*Resultados!$C$16)/(1-Resultados!$C$15)</f>
        <v/>
      </c>
      <c r="C36" s="28">
        <f>$A36*Resultados!$C$17+(1-$A36)*(Resultados!$G$17-Resultados!$C$15*Resultados!$C$17)/(1-Resultados!$C$15)</f>
        <v/>
      </c>
      <c r="D36" s="28">
        <f>$A36*Resultados!$C$18+(1-$A36)*(Resultados!$G$18-Resultados!$C$15*Resultados!$C$18)/(1-Resultados!$C$15)</f>
        <v/>
      </c>
      <c r="E36" s="36">
        <f t="array" ref="E36">IF(INDEX(B36:D36,Sensibilidad!$B$37)&gt;=MAX(B36:D36)-0.0000001,Sensibilidad!$C$37,INDEX(Inicio!$A$16:$A$18,MATCH(MAX(B36:D36),B36:D36,0)))</f>
        <v/>
      </c>
    </row>
    <row r="37" ht="15.75" customHeight="1" s="42">
      <c r="A37" s="39" t="n">
        <v>0.25</v>
      </c>
      <c r="B37" s="28">
        <f>$A37*Resultados!$C$16+(1-$A37)*(Resultados!$G$16-Resultados!$C$15*Resultados!$C$16)/(1-Resultados!$C$15)</f>
        <v/>
      </c>
      <c r="C37" s="28">
        <f>$A37*Resultados!$C$17+(1-$A37)*(Resultados!$G$17-Resultados!$C$15*Resultados!$C$17)/(1-Resultados!$C$15)</f>
        <v/>
      </c>
      <c r="D37" s="28">
        <f>$A37*Resultados!$C$18+(1-$A37)*(Resultados!$G$18-Resultados!$C$15*Resultados!$C$18)/(1-Resultados!$C$15)</f>
        <v/>
      </c>
      <c r="E37" s="36">
        <f t="array" ref="E37">IF(INDEX(B37:D37,Sensibilidad!$B$37)&gt;=MAX(B37:D37)-0.0000001,Sensibilidad!$C$37,INDEX(Inicio!$A$16:$A$18,MATCH(MAX(B37:D37),B37:D37,0)))</f>
        <v/>
      </c>
    </row>
    <row r="38" ht="15.75" customHeight="1" s="42">
      <c r="A38" s="39" t="n">
        <v>0.3</v>
      </c>
      <c r="B38" s="28">
        <f>$A38*Resultados!$C$16+(1-$A38)*(Resultados!$G$16-Resultados!$C$15*Resultados!$C$16)/(1-Resultados!$C$15)</f>
        <v/>
      </c>
      <c r="C38" s="28">
        <f>$A38*Resultados!$C$17+(1-$A38)*(Resultados!$G$17-Resultados!$C$15*Resultados!$C$17)/(1-Resultados!$C$15)</f>
        <v/>
      </c>
      <c r="D38" s="28">
        <f>$A38*Resultados!$C$18+(1-$A38)*(Resultados!$G$18-Resultados!$C$15*Resultados!$C$18)/(1-Resultados!$C$15)</f>
        <v/>
      </c>
      <c r="E38" s="36">
        <f t="array" ref="E38">IF(INDEX(B38:D38,Sensibilidad!$B$37)&gt;=MAX(B38:D38)-0.0000001,Sensibilidad!$C$37,INDEX(Inicio!$A$16:$A$18,MATCH(MAX(B38:D38),B38:D38,0)))</f>
        <v/>
      </c>
    </row>
    <row r="39" ht="15.75" customHeight="1" s="42">
      <c r="A39" s="39" t="n">
        <v>0.35</v>
      </c>
      <c r="B39" s="28">
        <f>$A39*Resultados!$C$16+(1-$A39)*(Resultados!$G$16-Resultados!$C$15*Resultados!$C$16)/(1-Resultados!$C$15)</f>
        <v/>
      </c>
      <c r="C39" s="28">
        <f>$A39*Resultados!$C$17+(1-$A39)*(Resultados!$G$17-Resultados!$C$15*Resultados!$C$17)/(1-Resultados!$C$15)</f>
        <v/>
      </c>
      <c r="D39" s="28">
        <f>$A39*Resultados!$C$18+(1-$A39)*(Resultados!$G$18-Resultados!$C$15*Resultados!$C$18)/(1-Resultados!$C$15)</f>
        <v/>
      </c>
      <c r="E39" s="36">
        <f t="array" ref="E39">IF(INDEX(B39:D39,Sensibilidad!$B$37)&gt;=MAX(B39:D39)-0.0000001,Sensibilidad!$C$37,INDEX(Inicio!$A$16:$A$18,MATCH(MAX(B39:D39),B39:D39,0)))</f>
        <v/>
      </c>
    </row>
    <row r="40" ht="15.75" customHeight="1" s="42">
      <c r="A40" s="39" t="n">
        <v>0.4</v>
      </c>
      <c r="B40" s="28">
        <f>$A40*Resultados!$C$16+(1-$A40)*(Resultados!$G$16-Resultados!$C$15*Resultados!$C$16)/(1-Resultados!$C$15)</f>
        <v/>
      </c>
      <c r="C40" s="28">
        <f>$A40*Resultados!$C$17+(1-$A40)*(Resultados!$G$17-Resultados!$C$15*Resultados!$C$17)/(1-Resultados!$C$15)</f>
        <v/>
      </c>
      <c r="D40" s="28">
        <f>$A40*Resultados!$C$18+(1-$A40)*(Resultados!$G$18-Resultados!$C$15*Resultados!$C$18)/(1-Resultados!$C$15)</f>
        <v/>
      </c>
      <c r="E40" s="36">
        <f t="array" ref="E40">IF(INDEX(B40:D40,Sensibilidad!$B$37)&gt;=MAX(B40:D40)-0.0000001,Sensibilidad!$C$37,INDEX(Inicio!$A$16:$A$18,MATCH(MAX(B40:D40),B40:D40,0)))</f>
        <v/>
      </c>
    </row>
    <row r="41" ht="15.75" customHeight="1" s="42">
      <c r="A41" s="39" t="n">
        <v>0.45</v>
      </c>
      <c r="B41" s="28">
        <f>$A41*Resultados!$C$16+(1-$A41)*(Resultados!$G$16-Resultados!$C$15*Resultados!$C$16)/(1-Resultados!$C$15)</f>
        <v/>
      </c>
      <c r="C41" s="28">
        <f>$A41*Resultados!$C$17+(1-$A41)*(Resultados!$G$17-Resultados!$C$15*Resultados!$C$17)/(1-Resultados!$C$15)</f>
        <v/>
      </c>
      <c r="D41" s="28">
        <f>$A41*Resultados!$C$18+(1-$A41)*(Resultados!$G$18-Resultados!$C$15*Resultados!$C$18)/(1-Resultados!$C$15)</f>
        <v/>
      </c>
      <c r="E41" s="36">
        <f t="array" ref="E41">IF(INDEX(B41:D41,Sensibilidad!$B$37)&gt;=MAX(B41:D41)-0.0000001,Sensibilidad!$C$37,INDEX(Inicio!$A$16:$A$18,MATCH(MAX(B41:D41),B41:D41,0)))</f>
        <v/>
      </c>
    </row>
    <row r="42" ht="15.75" customHeight="1" s="42">
      <c r="A42" s="39" t="n">
        <v>0.5</v>
      </c>
      <c r="B42" s="28">
        <f>$A42*Resultados!$C$16+(1-$A42)*(Resultados!$G$16-Resultados!$C$15*Resultados!$C$16)/(1-Resultados!$C$15)</f>
        <v/>
      </c>
      <c r="C42" s="28">
        <f>$A42*Resultados!$C$17+(1-$A42)*(Resultados!$G$17-Resultados!$C$15*Resultados!$C$17)/(1-Resultados!$C$15)</f>
        <v/>
      </c>
      <c r="D42" s="28">
        <f>$A42*Resultados!$C$18+(1-$A42)*(Resultados!$G$18-Resultados!$C$15*Resultados!$C$18)/(1-Resultados!$C$15)</f>
        <v/>
      </c>
      <c r="E42" s="36">
        <f t="array" ref="E42">IF(INDEX(B42:D42,Sensibilidad!$B$37)&gt;=MAX(B42:D42)-0.0000001,Sensibilidad!$C$37,INDEX(Inicio!$A$16:$A$18,MATCH(MAX(B42:D42),B42:D42,0)))</f>
        <v/>
      </c>
    </row>
    <row r="43" ht="15.75" customHeight="1" s="42">
      <c r="A43" s="39" t="n">
        <v>0.55</v>
      </c>
      <c r="B43" s="28">
        <f>$A43*Resultados!$C$16+(1-$A43)*(Resultados!$G$16-Resultados!$C$15*Resultados!$C$16)/(1-Resultados!$C$15)</f>
        <v/>
      </c>
      <c r="C43" s="28">
        <f>$A43*Resultados!$C$17+(1-$A43)*(Resultados!$G$17-Resultados!$C$15*Resultados!$C$17)/(1-Resultados!$C$15)</f>
        <v/>
      </c>
      <c r="D43" s="28">
        <f>$A43*Resultados!$C$18+(1-$A43)*(Resultados!$G$18-Resultados!$C$15*Resultados!$C$18)/(1-Resultados!$C$15)</f>
        <v/>
      </c>
      <c r="E43" s="36">
        <f t="array" ref="E43">IF(INDEX(B43:D43,Sensibilidad!$B$37)&gt;=MAX(B43:D43)-0.0000001,Sensibilidad!$C$37,INDEX(Inicio!$A$16:$A$18,MATCH(MAX(B43:D43),B43:D43,0)))</f>
        <v/>
      </c>
    </row>
    <row r="44" ht="15.75" customHeight="1" s="42">
      <c r="A44" s="39" t="n">
        <v>0.6</v>
      </c>
      <c r="B44" s="28">
        <f>$A44*Resultados!$C$16+(1-$A44)*(Resultados!$G$16-Resultados!$C$15*Resultados!$C$16)/(1-Resultados!$C$15)</f>
        <v/>
      </c>
      <c r="C44" s="28">
        <f>$A44*Resultados!$C$17+(1-$A44)*(Resultados!$G$17-Resultados!$C$15*Resultados!$C$17)/(1-Resultados!$C$15)</f>
        <v/>
      </c>
      <c r="D44" s="28">
        <f>$A44*Resultados!$C$18+(1-$A44)*(Resultados!$G$18-Resultados!$C$15*Resultados!$C$18)/(1-Resultados!$C$15)</f>
        <v/>
      </c>
      <c r="E44" s="36">
        <f t="array" ref="E44">IF(INDEX(B44:D44,Sensibilidad!$B$37)&gt;=MAX(B44:D44)-0.0000001,Sensibilidad!$C$37,INDEX(Inicio!$A$16:$A$18,MATCH(MAX(B44:D44),B44:D44,0)))</f>
        <v/>
      </c>
    </row>
    <row r="45" ht="15.75" customHeight="1" s="42">
      <c r="A45" s="39" t="n">
        <v>0.65</v>
      </c>
      <c r="B45" s="28">
        <f>$A45*Resultados!$C$16+(1-$A45)*(Resultados!$G$16-Resultados!$C$15*Resultados!$C$16)/(1-Resultados!$C$15)</f>
        <v/>
      </c>
      <c r="C45" s="28">
        <f>$A45*Resultados!$C$17+(1-$A45)*(Resultados!$G$17-Resultados!$C$15*Resultados!$C$17)/(1-Resultados!$C$15)</f>
        <v/>
      </c>
      <c r="D45" s="28">
        <f>$A45*Resultados!$C$18+(1-$A45)*(Resultados!$G$18-Resultados!$C$15*Resultados!$C$18)/(1-Resultados!$C$15)</f>
        <v/>
      </c>
      <c r="E45" s="36">
        <f t="array" ref="E45">IF(INDEX(B45:D45,Sensibilidad!$B$37)&gt;=MAX(B45:D45)-0.0000001,Sensibilidad!$C$37,INDEX(Inicio!$A$16:$A$18,MATCH(MAX(B45:D45),B45:D45,0)))</f>
        <v/>
      </c>
    </row>
    <row r="46" ht="15.75" customHeight="1" s="42">
      <c r="A46" s="39" t="n">
        <v>0.7</v>
      </c>
      <c r="B46" s="28">
        <f>$A46*Resultados!$C$16+(1-$A46)*(Resultados!$G$16-Resultados!$C$15*Resultados!$C$16)/(1-Resultados!$C$15)</f>
        <v/>
      </c>
      <c r="C46" s="28">
        <f>$A46*Resultados!$C$17+(1-$A46)*(Resultados!$G$17-Resultados!$C$15*Resultados!$C$17)/(1-Resultados!$C$15)</f>
        <v/>
      </c>
      <c r="D46" s="28">
        <f>$A46*Resultados!$C$18+(1-$A46)*(Resultados!$G$18-Resultados!$C$15*Resultados!$C$18)/(1-Resultados!$C$15)</f>
        <v/>
      </c>
      <c r="E46" s="36">
        <f t="array" ref="E46">IF(INDEX(B46:D46,Sensibilidad!$B$37)&gt;=MAX(B46:D46)-0.0000001,Sensibilidad!$C$37,INDEX(Inicio!$A$16:$A$18,MATCH(MAX(B46:D46),B46:D46,0)))</f>
        <v/>
      </c>
    </row>
    <row r="47" ht="15.75" customHeight="1" s="42">
      <c r="A47" s="39" t="n">
        <v>0.75</v>
      </c>
      <c r="B47" s="28">
        <f>$A47*Resultados!$C$16+(1-$A47)*(Resultados!$G$16-Resultados!$C$15*Resultados!$C$16)/(1-Resultados!$C$15)</f>
        <v/>
      </c>
      <c r="C47" s="28">
        <f>$A47*Resultados!$C$17+(1-$A47)*(Resultados!$G$17-Resultados!$C$15*Resultados!$C$17)/(1-Resultados!$C$15)</f>
        <v/>
      </c>
      <c r="D47" s="28">
        <f>$A47*Resultados!$C$18+(1-$A47)*(Resultados!$G$18-Resultados!$C$15*Resultados!$C$18)/(1-Resultados!$C$15)</f>
        <v/>
      </c>
      <c r="E47" s="36">
        <f t="array" ref="E47">IF(INDEX(B47:D47,Sensibilidad!$B$37)&gt;=MAX(B47:D47)-0.0000001,Sensibilidad!$C$37,INDEX(Inicio!$A$16:$A$18,MATCH(MAX(B47:D47),B47:D47,0)))</f>
        <v/>
      </c>
    </row>
    <row r="48" ht="15.75" customHeight="1" s="42">
      <c r="A48" s="39" t="n">
        <v>0.8</v>
      </c>
      <c r="B48" s="28">
        <f>$A48*Resultados!$C$16+(1-$A48)*(Resultados!$G$16-Resultados!$C$15*Resultados!$C$16)/(1-Resultados!$C$15)</f>
        <v/>
      </c>
      <c r="C48" s="28">
        <f>$A48*Resultados!$C$17+(1-$A48)*(Resultados!$G$17-Resultados!$C$15*Resultados!$C$17)/(1-Resultados!$C$15)</f>
        <v/>
      </c>
      <c r="D48" s="28">
        <f>$A48*Resultados!$C$18+(1-$A48)*(Resultados!$G$18-Resultados!$C$15*Resultados!$C$18)/(1-Resultados!$C$15)</f>
        <v/>
      </c>
      <c r="E48" s="36">
        <f t="array" ref="E48">IF(INDEX(B48:D48,Sensibilidad!$B$37)&gt;=MAX(B48:D48)-0.0000001,Sensibilidad!$C$37,INDEX(Inicio!$A$16:$A$18,MATCH(MAX(B48:D48),B48:D48,0)))</f>
        <v/>
      </c>
    </row>
    <row r="49" ht="15.75" customHeight="1" s="42">
      <c r="A49" s="39" t="n">
        <v>0.85</v>
      </c>
      <c r="B49" s="28">
        <f>$A49*Resultados!$C$16+(1-$A49)*(Resultados!$G$16-Resultados!$C$15*Resultados!$C$16)/(1-Resultados!$C$15)</f>
        <v/>
      </c>
      <c r="C49" s="28">
        <f>$A49*Resultados!$C$17+(1-$A49)*(Resultados!$G$17-Resultados!$C$15*Resultados!$C$17)/(1-Resultados!$C$15)</f>
        <v/>
      </c>
      <c r="D49" s="28">
        <f>$A49*Resultados!$C$18+(1-$A49)*(Resultados!$G$18-Resultados!$C$15*Resultados!$C$18)/(1-Resultados!$C$15)</f>
        <v/>
      </c>
      <c r="E49" s="36">
        <f t="array" ref="E49">IF(INDEX(B49:D49,Sensibilidad!$B$37)&gt;=MAX(B49:D49)-0.0000001,Sensibilidad!$C$37,INDEX(Inicio!$A$16:$A$18,MATCH(MAX(B49:D49),B49:D49,0)))</f>
        <v/>
      </c>
    </row>
    <row r="50" ht="15.75" customHeight="1" s="42">
      <c r="A50" s="39" t="n">
        <v>0.9</v>
      </c>
      <c r="B50" s="28">
        <f>$A50*Resultados!$C$16+(1-$A50)*(Resultados!$G$16-Resultados!$C$15*Resultados!$C$16)/(1-Resultados!$C$15)</f>
        <v/>
      </c>
      <c r="C50" s="28">
        <f>$A50*Resultados!$C$17+(1-$A50)*(Resultados!$G$17-Resultados!$C$15*Resultados!$C$17)/(1-Resultados!$C$15)</f>
        <v/>
      </c>
      <c r="D50" s="28">
        <f>$A50*Resultados!$C$18+(1-$A50)*(Resultados!$G$18-Resultados!$C$15*Resultados!$C$18)/(1-Resultados!$C$15)</f>
        <v/>
      </c>
      <c r="E50" s="36">
        <f t="array" ref="E50">IF(INDEX(B50:D50,Sensibilidad!$B$37)&gt;=MAX(B50:D50)-0.0000001,Sensibilidad!$C$37,INDEX(Inicio!$A$16:$A$18,MATCH(MAX(B50:D50),B50:D50,0)))</f>
        <v/>
      </c>
    </row>
    <row r="51" ht="15.75" customHeight="1" s="42">
      <c r="A51" s="39" t="n">
        <v>0.95</v>
      </c>
      <c r="B51" s="28">
        <f>$A51*Resultados!$C$16+(1-$A51)*(Resultados!$G$16-Resultados!$C$15*Resultados!$C$16)/(1-Resultados!$C$15)</f>
        <v/>
      </c>
      <c r="C51" s="28">
        <f>$A51*Resultados!$C$17+(1-$A51)*(Resultados!$G$17-Resultados!$C$15*Resultados!$C$17)/(1-Resultados!$C$15)</f>
        <v/>
      </c>
      <c r="D51" s="28">
        <f>$A51*Resultados!$C$18+(1-$A51)*(Resultados!$G$18-Resultados!$C$15*Resultados!$C$18)/(1-Resultados!$C$15)</f>
        <v/>
      </c>
      <c r="E51" s="36">
        <f t="array" ref="E51">IF(INDEX(B51:D51,Sensibilidad!$B$37)&gt;=MAX(B51:D51)-0.0000001,Sensibilidad!$C$37,INDEX(Inicio!$A$16:$A$18,MATCH(MAX(B51:D51),B51:D51,0)))</f>
        <v/>
      </c>
    </row>
    <row r="52" ht="15.75" customHeight="1" s="42">
      <c r="A52" s="39" t="n">
        <v>1</v>
      </c>
      <c r="B52" s="28">
        <f>$A52*Resultados!$C$16+(1-$A52)*(Resultados!$G$16-Resultados!$C$15*Resultados!$C$16)/(1-Resultados!$C$15)</f>
        <v/>
      </c>
      <c r="C52" s="28">
        <f>$A52*Resultados!$C$17+(1-$A52)*(Resultados!$G$17-Resultados!$C$15*Resultados!$C$17)/(1-Resultados!$C$15)</f>
        <v/>
      </c>
      <c r="D52" s="28">
        <f>$A52*Resultados!$C$18+(1-$A52)*(Resultados!$G$18-Resultados!$C$15*Resultados!$C$18)/(1-Resultados!$C$15)</f>
        <v/>
      </c>
      <c r="E52" s="36">
        <f t="array" ref="E52">IF(INDEX(B52:D52,Sensibilidad!$B$37)&gt;=MAX(B52:D52)-0.0000001,Sensibilidad!$C$37,INDEX(Inicio!$A$16:$A$18,MATCH(MAX(B52:D52),B52:D52,0)))</f>
        <v/>
      </c>
    </row>
    <row r="53" ht="15.75" customHeight="1" s="42"/>
    <row r="54" ht="15.75" customHeight="1" s="42"/>
    <row r="55" ht="15.75" customHeight="1" s="42"/>
    <row r="56" ht="15.75" customHeight="1" s="42">
      <c r="A56" s="24">
        <f>"Criterio: "&amp;Inicio!$B$10&amp;"   (peso base: "&amp;TEXT(Resultados!D15,"0.0%")&amp;")"</f>
        <v/>
      </c>
    </row>
    <row r="57" ht="15.75" customHeight="1" s="42">
      <c r="A57" s="6" t="inlineStr">
        <is>
          <t>Peso del criterio</t>
        </is>
      </c>
      <c r="B57" s="6">
        <f>"Puntaje "&amp;Inicio!$A$16</f>
        <v/>
      </c>
      <c r="C57" s="6">
        <f>"Puntaje "&amp;Inicio!$A$17</f>
        <v/>
      </c>
      <c r="D57" s="6">
        <f>"Puntaje "&amp;Inicio!$A$18</f>
        <v/>
      </c>
      <c r="E57" s="6" t="inlineStr">
        <is>
          <t>Ganador</t>
        </is>
      </c>
    </row>
    <row r="58" ht="15.75" customHeight="1" s="42">
      <c r="A58" s="39" t="n">
        <v>0</v>
      </c>
      <c r="B58" s="28">
        <f>$A58*Resultados!$D$16+(1-$A58)*(Resultados!$G$16-Resultados!$D$15*Resultados!$D$16)/(1-Resultados!$D$15)</f>
        <v/>
      </c>
      <c r="C58" s="28">
        <f>$A58*Resultados!$D$17+(1-$A58)*(Resultados!$G$17-Resultados!$D$15*Resultados!$D$17)/(1-Resultados!$D$15)</f>
        <v/>
      </c>
      <c r="D58" s="28">
        <f>$A58*Resultados!$D$18+(1-$A58)*(Resultados!$G$18-Resultados!$D$15*Resultados!$D$18)/(1-Resultados!$D$15)</f>
        <v/>
      </c>
      <c r="E58" s="36">
        <f t="array" ref="E58">IF(INDEX(B58:D58,Sensibilidad!$B$37)&gt;=MAX(B58:D58)-0.0000001,Sensibilidad!$C$37,INDEX(Inicio!$A$16:$A$18,MATCH(MAX(B58:D58),B58:D58,0)))</f>
        <v/>
      </c>
    </row>
    <row r="59" ht="15.75" customHeight="1" s="42">
      <c r="A59" s="39" t="n">
        <v>0.05</v>
      </c>
      <c r="B59" s="28">
        <f>$A59*Resultados!$D$16+(1-$A59)*(Resultados!$G$16-Resultados!$D$15*Resultados!$D$16)/(1-Resultados!$D$15)</f>
        <v/>
      </c>
      <c r="C59" s="28">
        <f>$A59*Resultados!$D$17+(1-$A59)*(Resultados!$G$17-Resultados!$D$15*Resultados!$D$17)/(1-Resultados!$D$15)</f>
        <v/>
      </c>
      <c r="D59" s="28">
        <f>$A59*Resultados!$D$18+(1-$A59)*(Resultados!$G$18-Resultados!$D$15*Resultados!$D$18)/(1-Resultados!$D$15)</f>
        <v/>
      </c>
      <c r="E59" s="36">
        <f t="array" ref="E59">IF(INDEX(B59:D59,Sensibilidad!$B$37)&gt;=MAX(B59:D59)-0.0000001,Sensibilidad!$C$37,INDEX(Inicio!$A$16:$A$18,MATCH(MAX(B59:D59),B59:D59,0)))</f>
        <v/>
      </c>
    </row>
    <row r="60" ht="15.75" customHeight="1" s="42">
      <c r="A60" s="39" t="n">
        <v>0.1</v>
      </c>
      <c r="B60" s="28">
        <f>$A60*Resultados!$D$16+(1-$A60)*(Resultados!$G$16-Resultados!$D$15*Resultados!$D$16)/(1-Resultados!$D$15)</f>
        <v/>
      </c>
      <c r="C60" s="28">
        <f>$A60*Resultados!$D$17+(1-$A60)*(Resultados!$G$17-Resultados!$D$15*Resultados!$D$17)/(1-Resultados!$D$15)</f>
        <v/>
      </c>
      <c r="D60" s="28">
        <f>$A60*Resultados!$D$18+(1-$A60)*(Resultados!$G$18-Resultados!$D$15*Resultados!$D$18)/(1-Resultados!$D$15)</f>
        <v/>
      </c>
      <c r="E60" s="36">
        <f t="array" ref="E60">IF(INDEX(B60:D60,Sensibilidad!$B$37)&gt;=MAX(B60:D60)-0.0000001,Sensibilidad!$C$37,INDEX(Inicio!$A$16:$A$18,MATCH(MAX(B60:D60),B60:D60,0)))</f>
        <v/>
      </c>
    </row>
    <row r="61" ht="15.75" customHeight="1" s="42">
      <c r="A61" s="39" t="n">
        <v>0.15</v>
      </c>
      <c r="B61" s="28">
        <f>$A61*Resultados!$D$16+(1-$A61)*(Resultados!$G$16-Resultados!$D$15*Resultados!$D$16)/(1-Resultados!$D$15)</f>
        <v/>
      </c>
      <c r="C61" s="28">
        <f>$A61*Resultados!$D$17+(1-$A61)*(Resultados!$G$17-Resultados!$D$15*Resultados!$D$17)/(1-Resultados!$D$15)</f>
        <v/>
      </c>
      <c r="D61" s="28">
        <f>$A61*Resultados!$D$18+(1-$A61)*(Resultados!$G$18-Resultados!$D$15*Resultados!$D$18)/(1-Resultados!$D$15)</f>
        <v/>
      </c>
      <c r="E61" s="36">
        <f t="array" ref="E61">IF(INDEX(B61:D61,Sensibilidad!$B$37)&gt;=MAX(B61:D61)-0.0000001,Sensibilidad!$C$37,INDEX(Inicio!$A$16:$A$18,MATCH(MAX(B61:D61),B61:D61,0)))</f>
        <v/>
      </c>
    </row>
    <row r="62" ht="15.75" customHeight="1" s="42">
      <c r="A62" s="39" t="n">
        <v>0.2</v>
      </c>
      <c r="B62" s="28">
        <f>$A62*Resultados!$D$16+(1-$A62)*(Resultados!$G$16-Resultados!$D$15*Resultados!$D$16)/(1-Resultados!$D$15)</f>
        <v/>
      </c>
      <c r="C62" s="28">
        <f>$A62*Resultados!$D$17+(1-$A62)*(Resultados!$G$17-Resultados!$D$15*Resultados!$D$17)/(1-Resultados!$D$15)</f>
        <v/>
      </c>
      <c r="D62" s="28">
        <f>$A62*Resultados!$D$18+(1-$A62)*(Resultados!$G$18-Resultados!$D$15*Resultados!$D$18)/(1-Resultados!$D$15)</f>
        <v/>
      </c>
      <c r="E62" s="36">
        <f t="array" ref="E62">IF(INDEX(B62:D62,Sensibilidad!$B$37)&gt;=MAX(B62:D62)-0.0000001,Sensibilidad!$C$37,INDEX(Inicio!$A$16:$A$18,MATCH(MAX(B62:D62),B62:D62,0)))</f>
        <v/>
      </c>
    </row>
    <row r="63" ht="15.75" customHeight="1" s="42">
      <c r="A63" s="39" t="n">
        <v>0.25</v>
      </c>
      <c r="B63" s="28">
        <f>$A63*Resultados!$D$16+(1-$A63)*(Resultados!$G$16-Resultados!$D$15*Resultados!$D$16)/(1-Resultados!$D$15)</f>
        <v/>
      </c>
      <c r="C63" s="28">
        <f>$A63*Resultados!$D$17+(1-$A63)*(Resultados!$G$17-Resultados!$D$15*Resultados!$D$17)/(1-Resultados!$D$15)</f>
        <v/>
      </c>
      <c r="D63" s="28">
        <f>$A63*Resultados!$D$18+(1-$A63)*(Resultados!$G$18-Resultados!$D$15*Resultados!$D$18)/(1-Resultados!$D$15)</f>
        <v/>
      </c>
      <c r="E63" s="36">
        <f t="array" ref="E63">IF(INDEX(B63:D63,Sensibilidad!$B$37)&gt;=MAX(B63:D63)-0.0000001,Sensibilidad!$C$37,INDEX(Inicio!$A$16:$A$18,MATCH(MAX(B63:D63),B63:D63,0)))</f>
        <v/>
      </c>
    </row>
    <row r="64" ht="15.75" customHeight="1" s="42">
      <c r="A64" s="39" t="n">
        <v>0.3</v>
      </c>
      <c r="B64" s="28">
        <f>$A64*Resultados!$D$16+(1-$A64)*(Resultados!$G$16-Resultados!$D$15*Resultados!$D$16)/(1-Resultados!$D$15)</f>
        <v/>
      </c>
      <c r="C64" s="28">
        <f>$A64*Resultados!$D$17+(1-$A64)*(Resultados!$G$17-Resultados!$D$15*Resultados!$D$17)/(1-Resultados!$D$15)</f>
        <v/>
      </c>
      <c r="D64" s="28">
        <f>$A64*Resultados!$D$18+(1-$A64)*(Resultados!$G$18-Resultados!$D$15*Resultados!$D$18)/(1-Resultados!$D$15)</f>
        <v/>
      </c>
      <c r="E64" s="36">
        <f t="array" ref="E64">IF(INDEX(B64:D64,Sensibilidad!$B$37)&gt;=MAX(B64:D64)-0.0000001,Sensibilidad!$C$37,INDEX(Inicio!$A$16:$A$18,MATCH(MAX(B64:D64),B64:D64,0)))</f>
        <v/>
      </c>
    </row>
    <row r="65" ht="15.75" customHeight="1" s="42">
      <c r="A65" s="39" t="n">
        <v>0.35</v>
      </c>
      <c r="B65" s="28">
        <f>$A65*Resultados!$D$16+(1-$A65)*(Resultados!$G$16-Resultados!$D$15*Resultados!$D$16)/(1-Resultados!$D$15)</f>
        <v/>
      </c>
      <c r="C65" s="28">
        <f>$A65*Resultados!$D$17+(1-$A65)*(Resultados!$G$17-Resultados!$D$15*Resultados!$D$17)/(1-Resultados!$D$15)</f>
        <v/>
      </c>
      <c r="D65" s="28">
        <f>$A65*Resultados!$D$18+(1-$A65)*(Resultados!$G$18-Resultados!$D$15*Resultados!$D$18)/(1-Resultados!$D$15)</f>
        <v/>
      </c>
      <c r="E65" s="36">
        <f t="array" ref="E65">IF(INDEX(B65:D65,Sensibilidad!$B$37)&gt;=MAX(B65:D65)-0.0000001,Sensibilidad!$C$37,INDEX(Inicio!$A$16:$A$18,MATCH(MAX(B65:D65),B65:D65,0)))</f>
        <v/>
      </c>
    </row>
    <row r="66" ht="15.75" customHeight="1" s="42">
      <c r="A66" s="39" t="n">
        <v>0.4</v>
      </c>
      <c r="B66" s="28">
        <f>$A66*Resultados!$D$16+(1-$A66)*(Resultados!$G$16-Resultados!$D$15*Resultados!$D$16)/(1-Resultados!$D$15)</f>
        <v/>
      </c>
      <c r="C66" s="28">
        <f>$A66*Resultados!$D$17+(1-$A66)*(Resultados!$G$17-Resultados!$D$15*Resultados!$D$17)/(1-Resultados!$D$15)</f>
        <v/>
      </c>
      <c r="D66" s="28">
        <f>$A66*Resultados!$D$18+(1-$A66)*(Resultados!$G$18-Resultados!$D$15*Resultados!$D$18)/(1-Resultados!$D$15)</f>
        <v/>
      </c>
      <c r="E66" s="36">
        <f t="array" ref="E66">IF(INDEX(B66:D66,Sensibilidad!$B$37)&gt;=MAX(B66:D66)-0.0000001,Sensibilidad!$C$37,INDEX(Inicio!$A$16:$A$18,MATCH(MAX(B66:D66),B66:D66,0)))</f>
        <v/>
      </c>
    </row>
    <row r="67" ht="15.75" customHeight="1" s="42">
      <c r="A67" s="39" t="n">
        <v>0.45</v>
      </c>
      <c r="B67" s="28">
        <f>$A67*Resultados!$D$16+(1-$A67)*(Resultados!$G$16-Resultados!$D$15*Resultados!$D$16)/(1-Resultados!$D$15)</f>
        <v/>
      </c>
      <c r="C67" s="28">
        <f>$A67*Resultados!$D$17+(1-$A67)*(Resultados!$G$17-Resultados!$D$15*Resultados!$D$17)/(1-Resultados!$D$15)</f>
        <v/>
      </c>
      <c r="D67" s="28">
        <f>$A67*Resultados!$D$18+(1-$A67)*(Resultados!$G$18-Resultados!$D$15*Resultados!$D$18)/(1-Resultados!$D$15)</f>
        <v/>
      </c>
      <c r="E67" s="36">
        <f t="array" ref="E67">IF(INDEX(B67:D67,Sensibilidad!$B$37)&gt;=MAX(B67:D67)-0.0000001,Sensibilidad!$C$37,INDEX(Inicio!$A$16:$A$18,MATCH(MAX(B67:D67),B67:D67,0)))</f>
        <v/>
      </c>
    </row>
    <row r="68" ht="15.75" customHeight="1" s="42">
      <c r="A68" s="39" t="n">
        <v>0.5</v>
      </c>
      <c r="B68" s="28">
        <f>$A68*Resultados!$D$16+(1-$A68)*(Resultados!$G$16-Resultados!$D$15*Resultados!$D$16)/(1-Resultados!$D$15)</f>
        <v/>
      </c>
      <c r="C68" s="28">
        <f>$A68*Resultados!$D$17+(1-$A68)*(Resultados!$G$17-Resultados!$D$15*Resultados!$D$17)/(1-Resultados!$D$15)</f>
        <v/>
      </c>
      <c r="D68" s="28">
        <f>$A68*Resultados!$D$18+(1-$A68)*(Resultados!$G$18-Resultados!$D$15*Resultados!$D$18)/(1-Resultados!$D$15)</f>
        <v/>
      </c>
      <c r="E68" s="36">
        <f t="array" ref="E68">IF(INDEX(B68:D68,Sensibilidad!$B$37)&gt;=MAX(B68:D68)-0.0000001,Sensibilidad!$C$37,INDEX(Inicio!$A$16:$A$18,MATCH(MAX(B68:D68),B68:D68,0)))</f>
        <v/>
      </c>
    </row>
    <row r="69" ht="15.75" customHeight="1" s="42">
      <c r="A69" s="39" t="n">
        <v>0.55</v>
      </c>
      <c r="B69" s="28">
        <f>$A69*Resultados!$D$16+(1-$A69)*(Resultados!$G$16-Resultados!$D$15*Resultados!$D$16)/(1-Resultados!$D$15)</f>
        <v/>
      </c>
      <c r="C69" s="28">
        <f>$A69*Resultados!$D$17+(1-$A69)*(Resultados!$G$17-Resultados!$D$15*Resultados!$D$17)/(1-Resultados!$D$15)</f>
        <v/>
      </c>
      <c r="D69" s="28">
        <f>$A69*Resultados!$D$18+(1-$A69)*(Resultados!$G$18-Resultados!$D$15*Resultados!$D$18)/(1-Resultados!$D$15)</f>
        <v/>
      </c>
      <c r="E69" s="36">
        <f t="array" ref="E69">IF(INDEX(B69:D69,Sensibilidad!$B$37)&gt;=MAX(B69:D69)-0.0000001,Sensibilidad!$C$37,INDEX(Inicio!$A$16:$A$18,MATCH(MAX(B69:D69),B69:D69,0)))</f>
        <v/>
      </c>
    </row>
    <row r="70" ht="15.75" customHeight="1" s="42">
      <c r="A70" s="39" t="n">
        <v>0.6</v>
      </c>
      <c r="B70" s="28">
        <f>$A70*Resultados!$D$16+(1-$A70)*(Resultados!$G$16-Resultados!$D$15*Resultados!$D$16)/(1-Resultados!$D$15)</f>
        <v/>
      </c>
      <c r="C70" s="28">
        <f>$A70*Resultados!$D$17+(1-$A70)*(Resultados!$G$17-Resultados!$D$15*Resultados!$D$17)/(1-Resultados!$D$15)</f>
        <v/>
      </c>
      <c r="D70" s="28">
        <f>$A70*Resultados!$D$18+(1-$A70)*(Resultados!$G$18-Resultados!$D$15*Resultados!$D$18)/(1-Resultados!$D$15)</f>
        <v/>
      </c>
      <c r="E70" s="36">
        <f t="array" ref="E70">IF(INDEX(B70:D70,Sensibilidad!$B$37)&gt;=MAX(B70:D70)-0.0000001,Sensibilidad!$C$37,INDEX(Inicio!$A$16:$A$18,MATCH(MAX(B70:D70),B70:D70,0)))</f>
        <v/>
      </c>
    </row>
    <row r="71" ht="15.75" customHeight="1" s="42">
      <c r="A71" s="39" t="n">
        <v>0.65</v>
      </c>
      <c r="B71" s="28">
        <f>$A71*Resultados!$D$16+(1-$A71)*(Resultados!$G$16-Resultados!$D$15*Resultados!$D$16)/(1-Resultados!$D$15)</f>
        <v/>
      </c>
      <c r="C71" s="28">
        <f>$A71*Resultados!$D$17+(1-$A71)*(Resultados!$G$17-Resultados!$D$15*Resultados!$D$17)/(1-Resultados!$D$15)</f>
        <v/>
      </c>
      <c r="D71" s="28">
        <f>$A71*Resultados!$D$18+(1-$A71)*(Resultados!$G$18-Resultados!$D$15*Resultados!$D$18)/(1-Resultados!$D$15)</f>
        <v/>
      </c>
      <c r="E71" s="36">
        <f t="array" ref="E71">IF(INDEX(B71:D71,Sensibilidad!$B$37)&gt;=MAX(B71:D71)-0.0000001,Sensibilidad!$C$37,INDEX(Inicio!$A$16:$A$18,MATCH(MAX(B71:D71),B71:D71,0)))</f>
        <v/>
      </c>
    </row>
    <row r="72" ht="15.75" customHeight="1" s="42">
      <c r="A72" s="39" t="n">
        <v>0.7</v>
      </c>
      <c r="B72" s="28">
        <f>$A72*Resultados!$D$16+(1-$A72)*(Resultados!$G$16-Resultados!$D$15*Resultados!$D$16)/(1-Resultados!$D$15)</f>
        <v/>
      </c>
      <c r="C72" s="28">
        <f>$A72*Resultados!$D$17+(1-$A72)*(Resultados!$G$17-Resultados!$D$15*Resultados!$D$17)/(1-Resultados!$D$15)</f>
        <v/>
      </c>
      <c r="D72" s="28">
        <f>$A72*Resultados!$D$18+(1-$A72)*(Resultados!$G$18-Resultados!$D$15*Resultados!$D$18)/(1-Resultados!$D$15)</f>
        <v/>
      </c>
      <c r="E72" s="36">
        <f t="array" ref="E72">IF(INDEX(B72:D72,Sensibilidad!$B$37)&gt;=MAX(B72:D72)-0.0000001,Sensibilidad!$C$37,INDEX(Inicio!$A$16:$A$18,MATCH(MAX(B72:D72),B72:D72,0)))</f>
        <v/>
      </c>
    </row>
    <row r="73" ht="15.75" customHeight="1" s="42">
      <c r="A73" s="39" t="n">
        <v>0.75</v>
      </c>
      <c r="B73" s="28">
        <f>$A73*Resultados!$D$16+(1-$A73)*(Resultados!$G$16-Resultados!$D$15*Resultados!$D$16)/(1-Resultados!$D$15)</f>
        <v/>
      </c>
      <c r="C73" s="28">
        <f>$A73*Resultados!$D$17+(1-$A73)*(Resultados!$G$17-Resultados!$D$15*Resultados!$D$17)/(1-Resultados!$D$15)</f>
        <v/>
      </c>
      <c r="D73" s="28">
        <f>$A73*Resultados!$D$18+(1-$A73)*(Resultados!$G$18-Resultados!$D$15*Resultados!$D$18)/(1-Resultados!$D$15)</f>
        <v/>
      </c>
      <c r="E73" s="36">
        <f t="array" ref="E73">IF(INDEX(B73:D73,Sensibilidad!$B$37)&gt;=MAX(B73:D73)-0.0000001,Sensibilidad!$C$37,INDEX(Inicio!$A$16:$A$18,MATCH(MAX(B73:D73),B73:D73,0)))</f>
        <v/>
      </c>
    </row>
    <row r="74" ht="15.75" customHeight="1" s="42">
      <c r="A74" s="39" t="n">
        <v>0.8</v>
      </c>
      <c r="B74" s="28">
        <f>$A74*Resultados!$D$16+(1-$A74)*(Resultados!$G$16-Resultados!$D$15*Resultados!$D$16)/(1-Resultados!$D$15)</f>
        <v/>
      </c>
      <c r="C74" s="28">
        <f>$A74*Resultados!$D$17+(1-$A74)*(Resultados!$G$17-Resultados!$D$15*Resultados!$D$17)/(1-Resultados!$D$15)</f>
        <v/>
      </c>
      <c r="D74" s="28">
        <f>$A74*Resultados!$D$18+(1-$A74)*(Resultados!$G$18-Resultados!$D$15*Resultados!$D$18)/(1-Resultados!$D$15)</f>
        <v/>
      </c>
      <c r="E74" s="36">
        <f t="array" ref="E74">IF(INDEX(B74:D74,Sensibilidad!$B$37)&gt;=MAX(B74:D74)-0.0000001,Sensibilidad!$C$37,INDEX(Inicio!$A$16:$A$18,MATCH(MAX(B74:D74),B74:D74,0)))</f>
        <v/>
      </c>
    </row>
    <row r="75" ht="15.75" customHeight="1" s="42">
      <c r="A75" s="39" t="n">
        <v>0.85</v>
      </c>
      <c r="B75" s="28">
        <f>$A75*Resultados!$D$16+(1-$A75)*(Resultados!$G$16-Resultados!$D$15*Resultados!$D$16)/(1-Resultados!$D$15)</f>
        <v/>
      </c>
      <c r="C75" s="28">
        <f>$A75*Resultados!$D$17+(1-$A75)*(Resultados!$G$17-Resultados!$D$15*Resultados!$D$17)/(1-Resultados!$D$15)</f>
        <v/>
      </c>
      <c r="D75" s="28">
        <f>$A75*Resultados!$D$18+(1-$A75)*(Resultados!$G$18-Resultados!$D$15*Resultados!$D$18)/(1-Resultados!$D$15)</f>
        <v/>
      </c>
      <c r="E75" s="36">
        <f t="array" ref="E75">IF(INDEX(B75:D75,Sensibilidad!$B$37)&gt;=MAX(B75:D75)-0.0000001,Sensibilidad!$C$37,INDEX(Inicio!$A$16:$A$18,MATCH(MAX(B75:D75),B75:D75,0)))</f>
        <v/>
      </c>
    </row>
    <row r="76" ht="15.75" customHeight="1" s="42">
      <c r="A76" s="39" t="n">
        <v>0.9</v>
      </c>
      <c r="B76" s="28">
        <f>$A76*Resultados!$D$16+(1-$A76)*(Resultados!$G$16-Resultados!$D$15*Resultados!$D$16)/(1-Resultados!$D$15)</f>
        <v/>
      </c>
      <c r="C76" s="28">
        <f>$A76*Resultados!$D$17+(1-$A76)*(Resultados!$G$17-Resultados!$D$15*Resultados!$D$17)/(1-Resultados!$D$15)</f>
        <v/>
      </c>
      <c r="D76" s="28">
        <f>$A76*Resultados!$D$18+(1-$A76)*(Resultados!$G$18-Resultados!$D$15*Resultados!$D$18)/(1-Resultados!$D$15)</f>
        <v/>
      </c>
      <c r="E76" s="36">
        <f t="array" ref="E76">IF(INDEX(B76:D76,Sensibilidad!$B$37)&gt;=MAX(B76:D76)-0.0000001,Sensibilidad!$C$37,INDEX(Inicio!$A$16:$A$18,MATCH(MAX(B76:D76),B76:D76,0)))</f>
        <v/>
      </c>
    </row>
    <row r="77" ht="15.75" customHeight="1" s="42">
      <c r="A77" s="39" t="n">
        <v>0.95</v>
      </c>
      <c r="B77" s="28">
        <f>$A77*Resultados!$D$16+(1-$A77)*(Resultados!$G$16-Resultados!$D$15*Resultados!$D$16)/(1-Resultados!$D$15)</f>
        <v/>
      </c>
      <c r="C77" s="28">
        <f>$A77*Resultados!$D$17+(1-$A77)*(Resultados!$G$17-Resultados!$D$15*Resultados!$D$17)/(1-Resultados!$D$15)</f>
        <v/>
      </c>
      <c r="D77" s="28">
        <f>$A77*Resultados!$D$18+(1-$A77)*(Resultados!$G$18-Resultados!$D$15*Resultados!$D$18)/(1-Resultados!$D$15)</f>
        <v/>
      </c>
      <c r="E77" s="36">
        <f t="array" ref="E77">IF(INDEX(B77:D77,Sensibilidad!$B$37)&gt;=MAX(B77:D77)-0.0000001,Sensibilidad!$C$37,INDEX(Inicio!$A$16:$A$18,MATCH(MAX(B77:D77),B77:D77,0)))</f>
        <v/>
      </c>
    </row>
    <row r="78" ht="15.75" customHeight="1" s="42">
      <c r="A78" s="39" t="n">
        <v>1</v>
      </c>
      <c r="B78" s="28">
        <f>$A78*Resultados!$D$16+(1-$A78)*(Resultados!$G$16-Resultados!$D$15*Resultados!$D$16)/(1-Resultados!$D$15)</f>
        <v/>
      </c>
      <c r="C78" s="28">
        <f>$A78*Resultados!$D$17+(1-$A78)*(Resultados!$G$17-Resultados!$D$15*Resultados!$D$17)/(1-Resultados!$D$15)</f>
        <v/>
      </c>
      <c r="D78" s="28">
        <f>$A78*Resultados!$D$18+(1-$A78)*(Resultados!$G$18-Resultados!$D$15*Resultados!$D$18)/(1-Resultados!$D$15)</f>
        <v/>
      </c>
      <c r="E78" s="36">
        <f t="array" ref="E78">IF(INDEX(B78:D78,Sensibilidad!$B$37)&gt;=MAX(B78:D78)-0.0000001,Sensibilidad!$C$37,INDEX(Inicio!$A$16:$A$18,MATCH(MAX(B78:D78),B78:D78,0)))</f>
        <v/>
      </c>
    </row>
    <row r="79" ht="15.75" customHeight="1" s="42"/>
    <row r="80" ht="15.75" customHeight="1" s="42"/>
    <row r="81" ht="15.75" customHeight="1" s="42"/>
    <row r="82" ht="15.75" customHeight="1" s="42">
      <c r="A82" s="24">
        <f>"Criterio: "&amp;Inicio!$B$11&amp;"   (peso base: "&amp;TEXT(Resultados!E15,"0.0%")&amp;")"</f>
        <v/>
      </c>
    </row>
    <row r="83" ht="15.75" customHeight="1" s="42">
      <c r="A83" s="6" t="inlineStr">
        <is>
          <t>Peso del criterio</t>
        </is>
      </c>
      <c r="B83" s="6">
        <f>"Puntaje "&amp;Inicio!$A$16</f>
        <v/>
      </c>
      <c r="C83" s="6">
        <f>"Puntaje "&amp;Inicio!$A$17</f>
        <v/>
      </c>
      <c r="D83" s="6">
        <f>"Puntaje "&amp;Inicio!$A$18</f>
        <v/>
      </c>
      <c r="E83" s="6" t="inlineStr">
        <is>
          <t>Ganador</t>
        </is>
      </c>
    </row>
    <row r="84" ht="15.75" customHeight="1" s="42">
      <c r="A84" s="39" t="n">
        <v>0</v>
      </c>
      <c r="B84" s="28">
        <f>$A84*Resultados!$E$16+(1-$A84)*(Resultados!$G$16-Resultados!$E$15*Resultados!$E$16)/(1-Resultados!$E$15)</f>
        <v/>
      </c>
      <c r="C84" s="28">
        <f>$A84*Resultados!$E$17+(1-$A84)*(Resultados!$G$17-Resultados!$E$15*Resultados!$E$17)/(1-Resultados!$E$15)</f>
        <v/>
      </c>
      <c r="D84" s="28">
        <f>$A84*Resultados!$E$18+(1-$A84)*(Resultados!$G$18-Resultados!$E$15*Resultados!$E$18)/(1-Resultados!$E$15)</f>
        <v/>
      </c>
      <c r="E84" s="36">
        <f t="array" ref="E84">IF(INDEX(B84:D84,Sensibilidad!$B$37)&gt;=MAX(B84:D84)-0.0000001,Sensibilidad!$C$37,INDEX(Inicio!$A$16:$A$18,MATCH(MAX(B84:D84),B84:D84,0)))</f>
        <v/>
      </c>
    </row>
    <row r="85" ht="15.75" customHeight="1" s="42">
      <c r="A85" s="39" t="n">
        <v>0.05</v>
      </c>
      <c r="B85" s="28">
        <f>$A85*Resultados!$E$16+(1-$A85)*(Resultados!$G$16-Resultados!$E$15*Resultados!$E$16)/(1-Resultados!$E$15)</f>
        <v/>
      </c>
      <c r="C85" s="28">
        <f>$A85*Resultados!$E$17+(1-$A85)*(Resultados!$G$17-Resultados!$E$15*Resultados!$E$17)/(1-Resultados!$E$15)</f>
        <v/>
      </c>
      <c r="D85" s="28">
        <f>$A85*Resultados!$E$18+(1-$A85)*(Resultados!$G$18-Resultados!$E$15*Resultados!$E$18)/(1-Resultados!$E$15)</f>
        <v/>
      </c>
      <c r="E85" s="36">
        <f t="array" ref="E85">IF(INDEX(B85:D85,Sensibilidad!$B$37)&gt;=MAX(B85:D85)-0.0000001,Sensibilidad!$C$37,INDEX(Inicio!$A$16:$A$18,MATCH(MAX(B85:D85),B85:D85,0)))</f>
        <v/>
      </c>
    </row>
    <row r="86" ht="15.75" customHeight="1" s="42">
      <c r="A86" s="39" t="n">
        <v>0.1</v>
      </c>
      <c r="B86" s="28">
        <f>$A86*Resultados!$E$16+(1-$A86)*(Resultados!$G$16-Resultados!$E$15*Resultados!$E$16)/(1-Resultados!$E$15)</f>
        <v/>
      </c>
      <c r="C86" s="28">
        <f>$A86*Resultados!$E$17+(1-$A86)*(Resultados!$G$17-Resultados!$E$15*Resultados!$E$17)/(1-Resultados!$E$15)</f>
        <v/>
      </c>
      <c r="D86" s="28">
        <f>$A86*Resultados!$E$18+(1-$A86)*(Resultados!$G$18-Resultados!$E$15*Resultados!$E$18)/(1-Resultados!$E$15)</f>
        <v/>
      </c>
      <c r="E86" s="36">
        <f t="array" ref="E86">IF(INDEX(B86:D86,Sensibilidad!$B$37)&gt;=MAX(B86:D86)-0.0000001,Sensibilidad!$C$37,INDEX(Inicio!$A$16:$A$18,MATCH(MAX(B86:D86),B86:D86,0)))</f>
        <v/>
      </c>
    </row>
    <row r="87" ht="15.75" customHeight="1" s="42">
      <c r="A87" s="39" t="n">
        <v>0.15</v>
      </c>
      <c r="B87" s="28">
        <f>$A87*Resultados!$E$16+(1-$A87)*(Resultados!$G$16-Resultados!$E$15*Resultados!$E$16)/(1-Resultados!$E$15)</f>
        <v/>
      </c>
      <c r="C87" s="28">
        <f>$A87*Resultados!$E$17+(1-$A87)*(Resultados!$G$17-Resultados!$E$15*Resultados!$E$17)/(1-Resultados!$E$15)</f>
        <v/>
      </c>
      <c r="D87" s="28">
        <f>$A87*Resultados!$E$18+(1-$A87)*(Resultados!$G$18-Resultados!$E$15*Resultados!$E$18)/(1-Resultados!$E$15)</f>
        <v/>
      </c>
      <c r="E87" s="36">
        <f t="array" ref="E87">IF(INDEX(B87:D87,Sensibilidad!$B$37)&gt;=MAX(B87:D87)-0.0000001,Sensibilidad!$C$37,INDEX(Inicio!$A$16:$A$18,MATCH(MAX(B87:D87),B87:D87,0)))</f>
        <v/>
      </c>
    </row>
    <row r="88" ht="15.75" customHeight="1" s="42">
      <c r="A88" s="39" t="n">
        <v>0.2</v>
      </c>
      <c r="B88" s="28">
        <f>$A88*Resultados!$E$16+(1-$A88)*(Resultados!$G$16-Resultados!$E$15*Resultados!$E$16)/(1-Resultados!$E$15)</f>
        <v/>
      </c>
      <c r="C88" s="28">
        <f>$A88*Resultados!$E$17+(1-$A88)*(Resultados!$G$17-Resultados!$E$15*Resultados!$E$17)/(1-Resultados!$E$15)</f>
        <v/>
      </c>
      <c r="D88" s="28">
        <f>$A88*Resultados!$E$18+(1-$A88)*(Resultados!$G$18-Resultados!$E$15*Resultados!$E$18)/(1-Resultados!$E$15)</f>
        <v/>
      </c>
      <c r="E88" s="36">
        <f t="array" ref="E88">IF(INDEX(B88:D88,Sensibilidad!$B$37)&gt;=MAX(B88:D88)-0.0000001,Sensibilidad!$C$37,INDEX(Inicio!$A$16:$A$18,MATCH(MAX(B88:D88),B88:D88,0)))</f>
        <v/>
      </c>
    </row>
    <row r="89" ht="15.75" customHeight="1" s="42">
      <c r="A89" s="39" t="n">
        <v>0.25</v>
      </c>
      <c r="B89" s="28">
        <f>$A89*Resultados!$E$16+(1-$A89)*(Resultados!$G$16-Resultados!$E$15*Resultados!$E$16)/(1-Resultados!$E$15)</f>
        <v/>
      </c>
      <c r="C89" s="28">
        <f>$A89*Resultados!$E$17+(1-$A89)*(Resultados!$G$17-Resultados!$E$15*Resultados!$E$17)/(1-Resultados!$E$15)</f>
        <v/>
      </c>
      <c r="D89" s="28">
        <f>$A89*Resultados!$E$18+(1-$A89)*(Resultados!$G$18-Resultados!$E$15*Resultados!$E$18)/(1-Resultados!$E$15)</f>
        <v/>
      </c>
      <c r="E89" s="36">
        <f t="array" ref="E89">IF(INDEX(B89:D89,Sensibilidad!$B$37)&gt;=MAX(B89:D89)-0.0000001,Sensibilidad!$C$37,INDEX(Inicio!$A$16:$A$18,MATCH(MAX(B89:D89),B89:D89,0)))</f>
        <v/>
      </c>
    </row>
    <row r="90" ht="15.75" customHeight="1" s="42">
      <c r="A90" s="39" t="n">
        <v>0.3</v>
      </c>
      <c r="B90" s="28">
        <f>$A90*Resultados!$E$16+(1-$A90)*(Resultados!$G$16-Resultados!$E$15*Resultados!$E$16)/(1-Resultados!$E$15)</f>
        <v/>
      </c>
      <c r="C90" s="28">
        <f>$A90*Resultados!$E$17+(1-$A90)*(Resultados!$G$17-Resultados!$E$15*Resultados!$E$17)/(1-Resultados!$E$15)</f>
        <v/>
      </c>
      <c r="D90" s="28">
        <f>$A90*Resultados!$E$18+(1-$A90)*(Resultados!$G$18-Resultados!$E$15*Resultados!$E$18)/(1-Resultados!$E$15)</f>
        <v/>
      </c>
      <c r="E90" s="36">
        <f t="array" ref="E90">IF(INDEX(B90:D90,Sensibilidad!$B$37)&gt;=MAX(B90:D90)-0.0000001,Sensibilidad!$C$37,INDEX(Inicio!$A$16:$A$18,MATCH(MAX(B90:D90),B90:D90,0)))</f>
        <v/>
      </c>
    </row>
    <row r="91" ht="15.75" customHeight="1" s="42">
      <c r="A91" s="39" t="n">
        <v>0.35</v>
      </c>
      <c r="B91" s="28">
        <f>$A91*Resultados!$E$16+(1-$A91)*(Resultados!$G$16-Resultados!$E$15*Resultados!$E$16)/(1-Resultados!$E$15)</f>
        <v/>
      </c>
      <c r="C91" s="28">
        <f>$A91*Resultados!$E$17+(1-$A91)*(Resultados!$G$17-Resultados!$E$15*Resultados!$E$17)/(1-Resultados!$E$15)</f>
        <v/>
      </c>
      <c r="D91" s="28">
        <f>$A91*Resultados!$E$18+(1-$A91)*(Resultados!$G$18-Resultados!$E$15*Resultados!$E$18)/(1-Resultados!$E$15)</f>
        <v/>
      </c>
      <c r="E91" s="36">
        <f t="array" ref="E91">IF(INDEX(B91:D91,Sensibilidad!$B$37)&gt;=MAX(B91:D91)-0.0000001,Sensibilidad!$C$37,INDEX(Inicio!$A$16:$A$18,MATCH(MAX(B91:D91),B91:D91,0)))</f>
        <v/>
      </c>
    </row>
    <row r="92" ht="15.75" customHeight="1" s="42">
      <c r="A92" s="39" t="n">
        <v>0.4</v>
      </c>
      <c r="B92" s="28">
        <f>$A92*Resultados!$E$16+(1-$A92)*(Resultados!$G$16-Resultados!$E$15*Resultados!$E$16)/(1-Resultados!$E$15)</f>
        <v/>
      </c>
      <c r="C92" s="28">
        <f>$A92*Resultados!$E$17+(1-$A92)*(Resultados!$G$17-Resultados!$E$15*Resultados!$E$17)/(1-Resultados!$E$15)</f>
        <v/>
      </c>
      <c r="D92" s="28">
        <f>$A92*Resultados!$E$18+(1-$A92)*(Resultados!$G$18-Resultados!$E$15*Resultados!$E$18)/(1-Resultados!$E$15)</f>
        <v/>
      </c>
      <c r="E92" s="36">
        <f t="array" ref="E92">IF(INDEX(B92:D92,Sensibilidad!$B$37)&gt;=MAX(B92:D92)-0.0000001,Sensibilidad!$C$37,INDEX(Inicio!$A$16:$A$18,MATCH(MAX(B92:D92),B92:D92,0)))</f>
        <v/>
      </c>
    </row>
    <row r="93" ht="15.75" customHeight="1" s="42">
      <c r="A93" s="39" t="n">
        <v>0.45</v>
      </c>
      <c r="B93" s="28">
        <f>$A93*Resultados!$E$16+(1-$A93)*(Resultados!$G$16-Resultados!$E$15*Resultados!$E$16)/(1-Resultados!$E$15)</f>
        <v/>
      </c>
      <c r="C93" s="28">
        <f>$A93*Resultados!$E$17+(1-$A93)*(Resultados!$G$17-Resultados!$E$15*Resultados!$E$17)/(1-Resultados!$E$15)</f>
        <v/>
      </c>
      <c r="D93" s="28">
        <f>$A93*Resultados!$E$18+(1-$A93)*(Resultados!$G$18-Resultados!$E$15*Resultados!$E$18)/(1-Resultados!$E$15)</f>
        <v/>
      </c>
      <c r="E93" s="36">
        <f t="array" ref="E93">IF(INDEX(B93:D93,Sensibilidad!$B$37)&gt;=MAX(B93:D93)-0.0000001,Sensibilidad!$C$37,INDEX(Inicio!$A$16:$A$18,MATCH(MAX(B93:D93),B93:D93,0)))</f>
        <v/>
      </c>
    </row>
    <row r="94" ht="15.75" customHeight="1" s="42">
      <c r="A94" s="39" t="n">
        <v>0.5</v>
      </c>
      <c r="B94" s="28">
        <f>$A94*Resultados!$E$16+(1-$A94)*(Resultados!$G$16-Resultados!$E$15*Resultados!$E$16)/(1-Resultados!$E$15)</f>
        <v/>
      </c>
      <c r="C94" s="28">
        <f>$A94*Resultados!$E$17+(1-$A94)*(Resultados!$G$17-Resultados!$E$15*Resultados!$E$17)/(1-Resultados!$E$15)</f>
        <v/>
      </c>
      <c r="D94" s="28">
        <f>$A94*Resultados!$E$18+(1-$A94)*(Resultados!$G$18-Resultados!$E$15*Resultados!$E$18)/(1-Resultados!$E$15)</f>
        <v/>
      </c>
      <c r="E94" s="36">
        <f t="array" ref="E94">IF(INDEX(B94:D94,Sensibilidad!$B$37)&gt;=MAX(B94:D94)-0.0000001,Sensibilidad!$C$37,INDEX(Inicio!$A$16:$A$18,MATCH(MAX(B94:D94),B94:D94,0)))</f>
        <v/>
      </c>
    </row>
    <row r="95" ht="15.75" customHeight="1" s="42">
      <c r="A95" s="39" t="n">
        <v>0.55</v>
      </c>
      <c r="B95" s="28">
        <f>$A95*Resultados!$E$16+(1-$A95)*(Resultados!$G$16-Resultados!$E$15*Resultados!$E$16)/(1-Resultados!$E$15)</f>
        <v/>
      </c>
      <c r="C95" s="28">
        <f>$A95*Resultados!$E$17+(1-$A95)*(Resultados!$G$17-Resultados!$E$15*Resultados!$E$17)/(1-Resultados!$E$15)</f>
        <v/>
      </c>
      <c r="D95" s="28">
        <f>$A95*Resultados!$E$18+(1-$A95)*(Resultados!$G$18-Resultados!$E$15*Resultados!$E$18)/(1-Resultados!$E$15)</f>
        <v/>
      </c>
      <c r="E95" s="36">
        <f t="array" ref="E95">IF(INDEX(B95:D95,Sensibilidad!$B$37)&gt;=MAX(B95:D95)-0.0000001,Sensibilidad!$C$37,INDEX(Inicio!$A$16:$A$18,MATCH(MAX(B95:D95),B95:D95,0)))</f>
        <v/>
      </c>
    </row>
    <row r="96" ht="15.75" customHeight="1" s="42">
      <c r="A96" s="39" t="n">
        <v>0.6</v>
      </c>
      <c r="B96" s="28">
        <f>$A96*Resultados!$E$16+(1-$A96)*(Resultados!$G$16-Resultados!$E$15*Resultados!$E$16)/(1-Resultados!$E$15)</f>
        <v/>
      </c>
      <c r="C96" s="28">
        <f>$A96*Resultados!$E$17+(1-$A96)*(Resultados!$G$17-Resultados!$E$15*Resultados!$E$17)/(1-Resultados!$E$15)</f>
        <v/>
      </c>
      <c r="D96" s="28">
        <f>$A96*Resultados!$E$18+(1-$A96)*(Resultados!$G$18-Resultados!$E$15*Resultados!$E$18)/(1-Resultados!$E$15)</f>
        <v/>
      </c>
      <c r="E96" s="36">
        <f t="array" ref="E96">IF(INDEX(B96:D96,Sensibilidad!$B$37)&gt;=MAX(B96:D96)-0.0000001,Sensibilidad!$C$37,INDEX(Inicio!$A$16:$A$18,MATCH(MAX(B96:D96),B96:D96,0)))</f>
        <v/>
      </c>
    </row>
    <row r="97" ht="15.75" customHeight="1" s="42">
      <c r="A97" s="39" t="n">
        <v>0.65</v>
      </c>
      <c r="B97" s="28">
        <f>$A97*Resultados!$E$16+(1-$A97)*(Resultados!$G$16-Resultados!$E$15*Resultados!$E$16)/(1-Resultados!$E$15)</f>
        <v/>
      </c>
      <c r="C97" s="28">
        <f>$A97*Resultados!$E$17+(1-$A97)*(Resultados!$G$17-Resultados!$E$15*Resultados!$E$17)/(1-Resultados!$E$15)</f>
        <v/>
      </c>
      <c r="D97" s="28">
        <f>$A97*Resultados!$E$18+(1-$A97)*(Resultados!$G$18-Resultados!$E$15*Resultados!$E$18)/(1-Resultados!$E$15)</f>
        <v/>
      </c>
      <c r="E97" s="36">
        <f t="array" ref="E97">IF(INDEX(B97:D97,Sensibilidad!$B$37)&gt;=MAX(B97:D97)-0.0000001,Sensibilidad!$C$37,INDEX(Inicio!$A$16:$A$18,MATCH(MAX(B97:D97),B97:D97,0)))</f>
        <v/>
      </c>
    </row>
    <row r="98" ht="15.75" customHeight="1" s="42">
      <c r="A98" s="39" t="n">
        <v>0.7</v>
      </c>
      <c r="B98" s="28">
        <f>$A98*Resultados!$E$16+(1-$A98)*(Resultados!$G$16-Resultados!$E$15*Resultados!$E$16)/(1-Resultados!$E$15)</f>
        <v/>
      </c>
      <c r="C98" s="28">
        <f>$A98*Resultados!$E$17+(1-$A98)*(Resultados!$G$17-Resultados!$E$15*Resultados!$E$17)/(1-Resultados!$E$15)</f>
        <v/>
      </c>
      <c r="D98" s="28">
        <f>$A98*Resultados!$E$18+(1-$A98)*(Resultados!$G$18-Resultados!$E$15*Resultados!$E$18)/(1-Resultados!$E$15)</f>
        <v/>
      </c>
      <c r="E98" s="36">
        <f t="array" ref="E98">IF(INDEX(B98:D98,Sensibilidad!$B$37)&gt;=MAX(B98:D98)-0.0000001,Sensibilidad!$C$37,INDEX(Inicio!$A$16:$A$18,MATCH(MAX(B98:D98),B98:D98,0)))</f>
        <v/>
      </c>
    </row>
    <row r="99" ht="15.75" customHeight="1" s="42">
      <c r="A99" s="39" t="n">
        <v>0.75</v>
      </c>
      <c r="B99" s="28">
        <f>$A99*Resultados!$E$16+(1-$A99)*(Resultados!$G$16-Resultados!$E$15*Resultados!$E$16)/(1-Resultados!$E$15)</f>
        <v/>
      </c>
      <c r="C99" s="28">
        <f>$A99*Resultados!$E$17+(1-$A99)*(Resultados!$G$17-Resultados!$E$15*Resultados!$E$17)/(1-Resultados!$E$15)</f>
        <v/>
      </c>
      <c r="D99" s="28">
        <f>$A99*Resultados!$E$18+(1-$A99)*(Resultados!$G$18-Resultados!$E$15*Resultados!$E$18)/(1-Resultados!$E$15)</f>
        <v/>
      </c>
      <c r="E99" s="36">
        <f t="array" ref="E99">IF(INDEX(B99:D99,Sensibilidad!$B$37)&gt;=MAX(B99:D99)-0.0000001,Sensibilidad!$C$37,INDEX(Inicio!$A$16:$A$18,MATCH(MAX(B99:D99),B99:D99,0)))</f>
        <v/>
      </c>
    </row>
    <row r="100" ht="15.75" customHeight="1" s="42">
      <c r="A100" s="39" t="n">
        <v>0.8</v>
      </c>
      <c r="B100" s="28">
        <f>$A100*Resultados!$E$16+(1-$A100)*(Resultados!$G$16-Resultados!$E$15*Resultados!$E$16)/(1-Resultados!$E$15)</f>
        <v/>
      </c>
      <c r="C100" s="28">
        <f>$A100*Resultados!$E$17+(1-$A100)*(Resultados!$G$17-Resultados!$E$15*Resultados!$E$17)/(1-Resultados!$E$15)</f>
        <v/>
      </c>
      <c r="D100" s="28">
        <f>$A100*Resultados!$E$18+(1-$A100)*(Resultados!$G$18-Resultados!$E$15*Resultados!$E$18)/(1-Resultados!$E$15)</f>
        <v/>
      </c>
      <c r="E100" s="36">
        <f t="array" ref="E100">IF(INDEX(B100:D100,Sensibilidad!$B$37)&gt;=MAX(B100:D100)-0.0000001,Sensibilidad!$C$37,INDEX(Inicio!$A$16:$A$18,MATCH(MAX(B100:D100),B100:D100,0)))</f>
        <v/>
      </c>
    </row>
    <row r="101" ht="15.75" customHeight="1" s="42">
      <c r="A101" s="39" t="n">
        <v>0.85</v>
      </c>
      <c r="B101" s="28">
        <f>$A101*Resultados!$E$16+(1-$A101)*(Resultados!$G$16-Resultados!$E$15*Resultados!$E$16)/(1-Resultados!$E$15)</f>
        <v/>
      </c>
      <c r="C101" s="28">
        <f>$A101*Resultados!$E$17+(1-$A101)*(Resultados!$G$17-Resultados!$E$15*Resultados!$E$17)/(1-Resultados!$E$15)</f>
        <v/>
      </c>
      <c r="D101" s="28">
        <f>$A101*Resultados!$E$18+(1-$A101)*(Resultados!$G$18-Resultados!$E$15*Resultados!$E$18)/(1-Resultados!$E$15)</f>
        <v/>
      </c>
      <c r="E101" s="36">
        <f t="array" ref="E101">IF(INDEX(B101:D101,Sensibilidad!$B$37)&gt;=MAX(B101:D101)-0.0000001,Sensibilidad!$C$37,INDEX(Inicio!$A$16:$A$18,MATCH(MAX(B101:D101),B101:D101,0)))</f>
        <v/>
      </c>
    </row>
    <row r="102" ht="15.75" customHeight="1" s="42">
      <c r="A102" s="39" t="n">
        <v>0.9</v>
      </c>
      <c r="B102" s="28">
        <f>$A102*Resultados!$E$16+(1-$A102)*(Resultados!$G$16-Resultados!$E$15*Resultados!$E$16)/(1-Resultados!$E$15)</f>
        <v/>
      </c>
      <c r="C102" s="28">
        <f>$A102*Resultados!$E$17+(1-$A102)*(Resultados!$G$17-Resultados!$E$15*Resultados!$E$17)/(1-Resultados!$E$15)</f>
        <v/>
      </c>
      <c r="D102" s="28">
        <f>$A102*Resultados!$E$18+(1-$A102)*(Resultados!$G$18-Resultados!$E$15*Resultados!$E$18)/(1-Resultados!$E$15)</f>
        <v/>
      </c>
      <c r="E102" s="36">
        <f t="array" ref="E102">IF(INDEX(B102:D102,Sensibilidad!$B$37)&gt;=MAX(B102:D102)-0.0000001,Sensibilidad!$C$37,INDEX(Inicio!$A$16:$A$18,MATCH(MAX(B102:D102),B102:D102,0)))</f>
        <v/>
      </c>
    </row>
    <row r="103" ht="15.75" customHeight="1" s="42">
      <c r="A103" s="39" t="n">
        <v>0.95</v>
      </c>
      <c r="B103" s="28">
        <f>$A103*Resultados!$E$16+(1-$A103)*(Resultados!$G$16-Resultados!$E$15*Resultados!$E$16)/(1-Resultados!$E$15)</f>
        <v/>
      </c>
      <c r="C103" s="28">
        <f>$A103*Resultados!$E$17+(1-$A103)*(Resultados!$G$17-Resultados!$E$15*Resultados!$E$17)/(1-Resultados!$E$15)</f>
        <v/>
      </c>
      <c r="D103" s="28">
        <f>$A103*Resultados!$E$18+(1-$A103)*(Resultados!$G$18-Resultados!$E$15*Resultados!$E$18)/(1-Resultados!$E$15)</f>
        <v/>
      </c>
      <c r="E103" s="36">
        <f t="array" ref="E103">IF(INDEX(B103:D103,Sensibilidad!$B$37)&gt;=MAX(B103:D103)-0.0000001,Sensibilidad!$C$37,INDEX(Inicio!$A$16:$A$18,MATCH(MAX(B103:D103),B103:D103,0)))</f>
        <v/>
      </c>
    </row>
    <row r="104" ht="15.75" customHeight="1" s="42">
      <c r="A104" s="39" t="n">
        <v>1</v>
      </c>
      <c r="B104" s="28">
        <f>$A104*Resultados!$E$16+(1-$A104)*(Resultados!$G$16-Resultados!$E$15*Resultados!$E$16)/(1-Resultados!$E$15)</f>
        <v/>
      </c>
      <c r="C104" s="28">
        <f>$A104*Resultados!$E$17+(1-$A104)*(Resultados!$G$17-Resultados!$E$15*Resultados!$E$17)/(1-Resultados!$E$15)</f>
        <v/>
      </c>
      <c r="D104" s="28">
        <f>$A104*Resultados!$E$18+(1-$A104)*(Resultados!$G$18-Resultados!$E$15*Resultados!$E$18)/(1-Resultados!$E$15)</f>
        <v/>
      </c>
      <c r="E104" s="36">
        <f t="array" ref="E104">IF(INDEX(B104:D104,Sensibilidad!$B$37)&gt;=MAX(B104:D104)-0.0000001,Sensibilidad!$C$37,INDEX(Inicio!$A$16:$A$18,MATCH(MAX(B104:D104),B104:D104,0)))</f>
        <v/>
      </c>
    </row>
    <row r="105" ht="15.75" customHeight="1" s="42"/>
    <row r="106" ht="15.75" customHeight="1" s="42"/>
    <row r="107" ht="15.75" customHeight="1" s="42"/>
    <row r="108" ht="15.75" customHeight="1" s="42">
      <c r="A108" s="24">
        <f>"Criterio: "&amp;Inicio!$B$12&amp;"   (peso base: "&amp;TEXT(Resultados!F15,"0.0%")&amp;")"</f>
        <v/>
      </c>
    </row>
    <row r="109" ht="15.75" customHeight="1" s="42">
      <c r="A109" s="6" t="inlineStr">
        <is>
          <t>Peso del criterio</t>
        </is>
      </c>
      <c r="B109" s="6">
        <f>"Puntaje "&amp;Inicio!$A$16</f>
        <v/>
      </c>
      <c r="C109" s="6">
        <f>"Puntaje "&amp;Inicio!$A$17</f>
        <v/>
      </c>
      <c r="D109" s="6">
        <f>"Puntaje "&amp;Inicio!$A$18</f>
        <v/>
      </c>
      <c r="E109" s="6" t="inlineStr">
        <is>
          <t>Ganador</t>
        </is>
      </c>
    </row>
    <row r="110" ht="15.75" customHeight="1" s="42">
      <c r="A110" s="39" t="n">
        <v>0</v>
      </c>
      <c r="B110" s="28">
        <f>$A110*Resultados!$F$16+(1-$A110)*(Resultados!$G$16-Resultados!$F$15*Resultados!$F$16)/(1-Resultados!$F$15)</f>
        <v/>
      </c>
      <c r="C110" s="28">
        <f>$A110*Resultados!$F$17+(1-$A110)*(Resultados!$G$17-Resultados!$F$15*Resultados!$F$17)/(1-Resultados!$F$15)</f>
        <v/>
      </c>
      <c r="D110" s="28">
        <f>$A110*Resultados!$F$18+(1-$A110)*(Resultados!$G$18-Resultados!$F$15*Resultados!$F$18)/(1-Resultados!$F$15)</f>
        <v/>
      </c>
      <c r="E110" s="36">
        <f t="array" ref="E110">IF(INDEX(B110:D110,Sensibilidad!$B$37)&gt;=MAX(B110:D110)-0.0000001,Sensibilidad!$C$37,INDEX(Inicio!$A$16:$A$18,MATCH(MAX(B110:D110),B110:D110,0)))</f>
        <v/>
      </c>
    </row>
    <row r="111" ht="15.75" customHeight="1" s="42">
      <c r="A111" s="39" t="n">
        <v>0.05</v>
      </c>
      <c r="B111" s="28">
        <f>$A111*Resultados!$F$16+(1-$A111)*(Resultados!$G$16-Resultados!$F$15*Resultados!$F$16)/(1-Resultados!$F$15)</f>
        <v/>
      </c>
      <c r="C111" s="28">
        <f>$A111*Resultados!$F$17+(1-$A111)*(Resultados!$G$17-Resultados!$F$15*Resultados!$F$17)/(1-Resultados!$F$15)</f>
        <v/>
      </c>
      <c r="D111" s="28">
        <f>$A111*Resultados!$F$18+(1-$A111)*(Resultados!$G$18-Resultados!$F$15*Resultados!$F$18)/(1-Resultados!$F$15)</f>
        <v/>
      </c>
      <c r="E111" s="36">
        <f t="array" ref="E111">IF(INDEX(B111:D111,Sensibilidad!$B$37)&gt;=MAX(B111:D111)-0.0000001,Sensibilidad!$C$37,INDEX(Inicio!$A$16:$A$18,MATCH(MAX(B111:D111),B111:D111,0)))</f>
        <v/>
      </c>
    </row>
    <row r="112" ht="15.75" customHeight="1" s="42">
      <c r="A112" s="39" t="n">
        <v>0.1</v>
      </c>
      <c r="B112" s="28">
        <f>$A112*Resultados!$F$16+(1-$A112)*(Resultados!$G$16-Resultados!$F$15*Resultados!$F$16)/(1-Resultados!$F$15)</f>
        <v/>
      </c>
      <c r="C112" s="28">
        <f>$A112*Resultados!$F$17+(1-$A112)*(Resultados!$G$17-Resultados!$F$15*Resultados!$F$17)/(1-Resultados!$F$15)</f>
        <v/>
      </c>
      <c r="D112" s="28">
        <f>$A112*Resultados!$F$18+(1-$A112)*(Resultados!$G$18-Resultados!$F$15*Resultados!$F$18)/(1-Resultados!$F$15)</f>
        <v/>
      </c>
      <c r="E112" s="36">
        <f t="array" ref="E112">IF(INDEX(B112:D112,Sensibilidad!$B$37)&gt;=MAX(B112:D112)-0.0000001,Sensibilidad!$C$37,INDEX(Inicio!$A$16:$A$18,MATCH(MAX(B112:D112),B112:D112,0)))</f>
        <v/>
      </c>
    </row>
    <row r="113" ht="15.75" customHeight="1" s="42">
      <c r="A113" s="39" t="n">
        <v>0.15</v>
      </c>
      <c r="B113" s="28">
        <f>$A113*Resultados!$F$16+(1-$A113)*(Resultados!$G$16-Resultados!$F$15*Resultados!$F$16)/(1-Resultados!$F$15)</f>
        <v/>
      </c>
      <c r="C113" s="28">
        <f>$A113*Resultados!$F$17+(1-$A113)*(Resultados!$G$17-Resultados!$F$15*Resultados!$F$17)/(1-Resultados!$F$15)</f>
        <v/>
      </c>
      <c r="D113" s="28">
        <f>$A113*Resultados!$F$18+(1-$A113)*(Resultados!$G$18-Resultados!$F$15*Resultados!$F$18)/(1-Resultados!$F$15)</f>
        <v/>
      </c>
      <c r="E113" s="36">
        <f t="array" ref="E113">IF(INDEX(B113:D113,Sensibilidad!$B$37)&gt;=MAX(B113:D113)-0.0000001,Sensibilidad!$C$37,INDEX(Inicio!$A$16:$A$18,MATCH(MAX(B113:D113),B113:D113,0)))</f>
        <v/>
      </c>
    </row>
    <row r="114" ht="15.75" customHeight="1" s="42">
      <c r="A114" s="39" t="n">
        <v>0.2</v>
      </c>
      <c r="B114" s="28">
        <f>$A114*Resultados!$F$16+(1-$A114)*(Resultados!$G$16-Resultados!$F$15*Resultados!$F$16)/(1-Resultados!$F$15)</f>
        <v/>
      </c>
      <c r="C114" s="28">
        <f>$A114*Resultados!$F$17+(1-$A114)*(Resultados!$G$17-Resultados!$F$15*Resultados!$F$17)/(1-Resultados!$F$15)</f>
        <v/>
      </c>
      <c r="D114" s="28">
        <f>$A114*Resultados!$F$18+(1-$A114)*(Resultados!$G$18-Resultados!$F$15*Resultados!$F$18)/(1-Resultados!$F$15)</f>
        <v/>
      </c>
      <c r="E114" s="36">
        <f t="array" ref="E114">IF(INDEX(B114:D114,Sensibilidad!$B$37)&gt;=MAX(B114:D114)-0.0000001,Sensibilidad!$C$37,INDEX(Inicio!$A$16:$A$18,MATCH(MAX(B114:D114),B114:D114,0)))</f>
        <v/>
      </c>
    </row>
    <row r="115" ht="15.75" customHeight="1" s="42">
      <c r="A115" s="39" t="n">
        <v>0.25</v>
      </c>
      <c r="B115" s="28">
        <f>$A115*Resultados!$F$16+(1-$A115)*(Resultados!$G$16-Resultados!$F$15*Resultados!$F$16)/(1-Resultados!$F$15)</f>
        <v/>
      </c>
      <c r="C115" s="28">
        <f>$A115*Resultados!$F$17+(1-$A115)*(Resultados!$G$17-Resultados!$F$15*Resultados!$F$17)/(1-Resultados!$F$15)</f>
        <v/>
      </c>
      <c r="D115" s="28">
        <f>$A115*Resultados!$F$18+(1-$A115)*(Resultados!$G$18-Resultados!$F$15*Resultados!$F$18)/(1-Resultados!$F$15)</f>
        <v/>
      </c>
      <c r="E115" s="36">
        <f t="array" ref="E115">IF(INDEX(B115:D115,Sensibilidad!$B$37)&gt;=MAX(B115:D115)-0.0000001,Sensibilidad!$C$37,INDEX(Inicio!$A$16:$A$18,MATCH(MAX(B115:D115),B115:D115,0)))</f>
        <v/>
      </c>
    </row>
    <row r="116" ht="15.75" customHeight="1" s="42">
      <c r="A116" s="39" t="n">
        <v>0.3</v>
      </c>
      <c r="B116" s="28">
        <f>$A116*Resultados!$F$16+(1-$A116)*(Resultados!$G$16-Resultados!$F$15*Resultados!$F$16)/(1-Resultados!$F$15)</f>
        <v/>
      </c>
      <c r="C116" s="28">
        <f>$A116*Resultados!$F$17+(1-$A116)*(Resultados!$G$17-Resultados!$F$15*Resultados!$F$17)/(1-Resultados!$F$15)</f>
        <v/>
      </c>
      <c r="D116" s="28">
        <f>$A116*Resultados!$F$18+(1-$A116)*(Resultados!$G$18-Resultados!$F$15*Resultados!$F$18)/(1-Resultados!$F$15)</f>
        <v/>
      </c>
      <c r="E116" s="36">
        <f t="array" ref="E116">IF(INDEX(B116:D116,Sensibilidad!$B$37)&gt;=MAX(B116:D116)-0.0000001,Sensibilidad!$C$37,INDEX(Inicio!$A$16:$A$18,MATCH(MAX(B116:D116),B116:D116,0)))</f>
        <v/>
      </c>
    </row>
    <row r="117" ht="15.75" customHeight="1" s="42">
      <c r="A117" s="39" t="n">
        <v>0.35</v>
      </c>
      <c r="B117" s="28">
        <f>$A117*Resultados!$F$16+(1-$A117)*(Resultados!$G$16-Resultados!$F$15*Resultados!$F$16)/(1-Resultados!$F$15)</f>
        <v/>
      </c>
      <c r="C117" s="28">
        <f>$A117*Resultados!$F$17+(1-$A117)*(Resultados!$G$17-Resultados!$F$15*Resultados!$F$17)/(1-Resultados!$F$15)</f>
        <v/>
      </c>
      <c r="D117" s="28">
        <f>$A117*Resultados!$F$18+(1-$A117)*(Resultados!$G$18-Resultados!$F$15*Resultados!$F$18)/(1-Resultados!$F$15)</f>
        <v/>
      </c>
      <c r="E117" s="36">
        <f t="array" ref="E117">IF(INDEX(B117:D117,Sensibilidad!$B$37)&gt;=MAX(B117:D117)-0.0000001,Sensibilidad!$C$37,INDEX(Inicio!$A$16:$A$18,MATCH(MAX(B117:D117),B117:D117,0)))</f>
        <v/>
      </c>
    </row>
    <row r="118" ht="15.75" customHeight="1" s="42">
      <c r="A118" s="39" t="n">
        <v>0.4</v>
      </c>
      <c r="B118" s="28">
        <f>$A118*Resultados!$F$16+(1-$A118)*(Resultados!$G$16-Resultados!$F$15*Resultados!$F$16)/(1-Resultados!$F$15)</f>
        <v/>
      </c>
      <c r="C118" s="28">
        <f>$A118*Resultados!$F$17+(1-$A118)*(Resultados!$G$17-Resultados!$F$15*Resultados!$F$17)/(1-Resultados!$F$15)</f>
        <v/>
      </c>
      <c r="D118" s="28">
        <f>$A118*Resultados!$F$18+(1-$A118)*(Resultados!$G$18-Resultados!$F$15*Resultados!$F$18)/(1-Resultados!$F$15)</f>
        <v/>
      </c>
      <c r="E118" s="36">
        <f t="array" ref="E118">IF(INDEX(B118:D118,Sensibilidad!$B$37)&gt;=MAX(B118:D118)-0.0000001,Sensibilidad!$C$37,INDEX(Inicio!$A$16:$A$18,MATCH(MAX(B118:D118),B118:D118,0)))</f>
        <v/>
      </c>
    </row>
    <row r="119" ht="15.75" customHeight="1" s="42">
      <c r="A119" s="39" t="n">
        <v>0.45</v>
      </c>
      <c r="B119" s="28">
        <f>$A119*Resultados!$F$16+(1-$A119)*(Resultados!$G$16-Resultados!$F$15*Resultados!$F$16)/(1-Resultados!$F$15)</f>
        <v/>
      </c>
      <c r="C119" s="28">
        <f>$A119*Resultados!$F$17+(1-$A119)*(Resultados!$G$17-Resultados!$F$15*Resultados!$F$17)/(1-Resultados!$F$15)</f>
        <v/>
      </c>
      <c r="D119" s="28">
        <f>$A119*Resultados!$F$18+(1-$A119)*(Resultados!$G$18-Resultados!$F$15*Resultados!$F$18)/(1-Resultados!$F$15)</f>
        <v/>
      </c>
      <c r="E119" s="36">
        <f t="array" ref="E119">IF(INDEX(B119:D119,Sensibilidad!$B$37)&gt;=MAX(B119:D119)-0.0000001,Sensibilidad!$C$37,INDEX(Inicio!$A$16:$A$18,MATCH(MAX(B119:D119),B119:D119,0)))</f>
        <v/>
      </c>
    </row>
    <row r="120" ht="15.75" customHeight="1" s="42">
      <c r="A120" s="39" t="n">
        <v>0.5</v>
      </c>
      <c r="B120" s="28">
        <f>$A120*Resultados!$F$16+(1-$A120)*(Resultados!$G$16-Resultados!$F$15*Resultados!$F$16)/(1-Resultados!$F$15)</f>
        <v/>
      </c>
      <c r="C120" s="28">
        <f>$A120*Resultados!$F$17+(1-$A120)*(Resultados!$G$17-Resultados!$F$15*Resultados!$F$17)/(1-Resultados!$F$15)</f>
        <v/>
      </c>
      <c r="D120" s="28">
        <f>$A120*Resultados!$F$18+(1-$A120)*(Resultados!$G$18-Resultados!$F$15*Resultados!$F$18)/(1-Resultados!$F$15)</f>
        <v/>
      </c>
      <c r="E120" s="36">
        <f t="array" ref="E120">IF(INDEX(B120:D120,Sensibilidad!$B$37)&gt;=MAX(B120:D120)-0.0000001,Sensibilidad!$C$37,INDEX(Inicio!$A$16:$A$18,MATCH(MAX(B120:D120),B120:D120,0)))</f>
        <v/>
      </c>
    </row>
    <row r="121" ht="15.75" customHeight="1" s="42">
      <c r="A121" s="39" t="n">
        <v>0.55</v>
      </c>
      <c r="B121" s="28">
        <f>$A121*Resultados!$F$16+(1-$A121)*(Resultados!$G$16-Resultados!$F$15*Resultados!$F$16)/(1-Resultados!$F$15)</f>
        <v/>
      </c>
      <c r="C121" s="28">
        <f>$A121*Resultados!$F$17+(1-$A121)*(Resultados!$G$17-Resultados!$F$15*Resultados!$F$17)/(1-Resultados!$F$15)</f>
        <v/>
      </c>
      <c r="D121" s="28">
        <f>$A121*Resultados!$F$18+(1-$A121)*(Resultados!$G$18-Resultados!$F$15*Resultados!$F$18)/(1-Resultados!$F$15)</f>
        <v/>
      </c>
      <c r="E121" s="36">
        <f t="array" ref="E121">IF(INDEX(B121:D121,Sensibilidad!$B$37)&gt;=MAX(B121:D121)-0.0000001,Sensibilidad!$C$37,INDEX(Inicio!$A$16:$A$18,MATCH(MAX(B121:D121),B121:D121,0)))</f>
        <v/>
      </c>
    </row>
    <row r="122" ht="15.75" customHeight="1" s="42">
      <c r="A122" s="39" t="n">
        <v>0.6</v>
      </c>
      <c r="B122" s="28">
        <f>$A122*Resultados!$F$16+(1-$A122)*(Resultados!$G$16-Resultados!$F$15*Resultados!$F$16)/(1-Resultados!$F$15)</f>
        <v/>
      </c>
      <c r="C122" s="28">
        <f>$A122*Resultados!$F$17+(1-$A122)*(Resultados!$G$17-Resultados!$F$15*Resultados!$F$17)/(1-Resultados!$F$15)</f>
        <v/>
      </c>
      <c r="D122" s="28">
        <f>$A122*Resultados!$F$18+(1-$A122)*(Resultados!$G$18-Resultados!$F$15*Resultados!$F$18)/(1-Resultados!$F$15)</f>
        <v/>
      </c>
      <c r="E122" s="36">
        <f t="array" ref="E122">IF(INDEX(B122:D122,Sensibilidad!$B$37)&gt;=MAX(B122:D122)-0.0000001,Sensibilidad!$C$37,INDEX(Inicio!$A$16:$A$18,MATCH(MAX(B122:D122),B122:D122,0)))</f>
        <v/>
      </c>
    </row>
    <row r="123" ht="15.75" customHeight="1" s="42">
      <c r="A123" s="39" t="n">
        <v>0.65</v>
      </c>
      <c r="B123" s="28">
        <f>$A123*Resultados!$F$16+(1-$A123)*(Resultados!$G$16-Resultados!$F$15*Resultados!$F$16)/(1-Resultados!$F$15)</f>
        <v/>
      </c>
      <c r="C123" s="28">
        <f>$A123*Resultados!$F$17+(1-$A123)*(Resultados!$G$17-Resultados!$F$15*Resultados!$F$17)/(1-Resultados!$F$15)</f>
        <v/>
      </c>
      <c r="D123" s="28">
        <f>$A123*Resultados!$F$18+(1-$A123)*(Resultados!$G$18-Resultados!$F$15*Resultados!$F$18)/(1-Resultados!$F$15)</f>
        <v/>
      </c>
      <c r="E123" s="36">
        <f t="array" ref="E123">IF(INDEX(B123:D123,Sensibilidad!$B$37)&gt;=MAX(B123:D123)-0.0000001,Sensibilidad!$C$37,INDEX(Inicio!$A$16:$A$18,MATCH(MAX(B123:D123),B123:D123,0)))</f>
        <v/>
      </c>
    </row>
    <row r="124" ht="15.75" customHeight="1" s="42">
      <c r="A124" s="39" t="n">
        <v>0.7</v>
      </c>
      <c r="B124" s="28">
        <f>$A124*Resultados!$F$16+(1-$A124)*(Resultados!$G$16-Resultados!$F$15*Resultados!$F$16)/(1-Resultados!$F$15)</f>
        <v/>
      </c>
      <c r="C124" s="28">
        <f>$A124*Resultados!$F$17+(1-$A124)*(Resultados!$G$17-Resultados!$F$15*Resultados!$F$17)/(1-Resultados!$F$15)</f>
        <v/>
      </c>
      <c r="D124" s="28">
        <f>$A124*Resultados!$F$18+(1-$A124)*(Resultados!$G$18-Resultados!$F$15*Resultados!$F$18)/(1-Resultados!$F$15)</f>
        <v/>
      </c>
      <c r="E124" s="36">
        <f t="array" ref="E124">IF(INDEX(B124:D124,Sensibilidad!$B$37)&gt;=MAX(B124:D124)-0.0000001,Sensibilidad!$C$37,INDEX(Inicio!$A$16:$A$18,MATCH(MAX(B124:D124),B124:D124,0)))</f>
        <v/>
      </c>
    </row>
    <row r="125" ht="15.75" customHeight="1" s="42">
      <c r="A125" s="39" t="n">
        <v>0.75</v>
      </c>
      <c r="B125" s="28">
        <f>$A125*Resultados!$F$16+(1-$A125)*(Resultados!$G$16-Resultados!$F$15*Resultados!$F$16)/(1-Resultados!$F$15)</f>
        <v/>
      </c>
      <c r="C125" s="28">
        <f>$A125*Resultados!$F$17+(1-$A125)*(Resultados!$G$17-Resultados!$F$15*Resultados!$F$17)/(1-Resultados!$F$15)</f>
        <v/>
      </c>
      <c r="D125" s="28">
        <f>$A125*Resultados!$F$18+(1-$A125)*(Resultados!$G$18-Resultados!$F$15*Resultados!$F$18)/(1-Resultados!$F$15)</f>
        <v/>
      </c>
      <c r="E125" s="36">
        <f t="array" ref="E125">IF(INDEX(B125:D125,Sensibilidad!$B$37)&gt;=MAX(B125:D125)-0.0000001,Sensibilidad!$C$37,INDEX(Inicio!$A$16:$A$18,MATCH(MAX(B125:D125),B125:D125,0)))</f>
        <v/>
      </c>
    </row>
    <row r="126" ht="15.75" customHeight="1" s="42">
      <c r="A126" s="39" t="n">
        <v>0.8</v>
      </c>
      <c r="B126" s="28">
        <f>$A126*Resultados!$F$16+(1-$A126)*(Resultados!$G$16-Resultados!$F$15*Resultados!$F$16)/(1-Resultados!$F$15)</f>
        <v/>
      </c>
      <c r="C126" s="28">
        <f>$A126*Resultados!$F$17+(1-$A126)*(Resultados!$G$17-Resultados!$F$15*Resultados!$F$17)/(1-Resultados!$F$15)</f>
        <v/>
      </c>
      <c r="D126" s="28">
        <f>$A126*Resultados!$F$18+(1-$A126)*(Resultados!$G$18-Resultados!$F$15*Resultados!$F$18)/(1-Resultados!$F$15)</f>
        <v/>
      </c>
      <c r="E126" s="36">
        <f t="array" ref="E126">IF(INDEX(B126:D126,Sensibilidad!$B$37)&gt;=MAX(B126:D126)-0.0000001,Sensibilidad!$C$37,INDEX(Inicio!$A$16:$A$18,MATCH(MAX(B126:D126),B126:D126,0)))</f>
        <v/>
      </c>
    </row>
    <row r="127" ht="15.75" customHeight="1" s="42">
      <c r="A127" s="39" t="n">
        <v>0.85</v>
      </c>
      <c r="B127" s="28">
        <f>$A127*Resultados!$F$16+(1-$A127)*(Resultados!$G$16-Resultados!$F$15*Resultados!$F$16)/(1-Resultados!$F$15)</f>
        <v/>
      </c>
      <c r="C127" s="28">
        <f>$A127*Resultados!$F$17+(1-$A127)*(Resultados!$G$17-Resultados!$F$15*Resultados!$F$17)/(1-Resultados!$F$15)</f>
        <v/>
      </c>
      <c r="D127" s="28">
        <f>$A127*Resultados!$F$18+(1-$A127)*(Resultados!$G$18-Resultados!$F$15*Resultados!$F$18)/(1-Resultados!$F$15)</f>
        <v/>
      </c>
      <c r="E127" s="36">
        <f t="array" ref="E127">IF(INDEX(B127:D127,Sensibilidad!$B$37)&gt;=MAX(B127:D127)-0.0000001,Sensibilidad!$C$37,INDEX(Inicio!$A$16:$A$18,MATCH(MAX(B127:D127),B127:D127,0)))</f>
        <v/>
      </c>
    </row>
    <row r="128" ht="15.75" customHeight="1" s="42">
      <c r="A128" s="39" t="n">
        <v>0.9</v>
      </c>
      <c r="B128" s="28">
        <f>$A128*Resultados!$F$16+(1-$A128)*(Resultados!$G$16-Resultados!$F$15*Resultados!$F$16)/(1-Resultados!$F$15)</f>
        <v/>
      </c>
      <c r="C128" s="28">
        <f>$A128*Resultados!$F$17+(1-$A128)*(Resultados!$G$17-Resultados!$F$15*Resultados!$F$17)/(1-Resultados!$F$15)</f>
        <v/>
      </c>
      <c r="D128" s="28">
        <f>$A128*Resultados!$F$18+(1-$A128)*(Resultados!$G$18-Resultados!$F$15*Resultados!$F$18)/(1-Resultados!$F$15)</f>
        <v/>
      </c>
      <c r="E128" s="36">
        <f t="array" ref="E128">IF(INDEX(B128:D128,Sensibilidad!$B$37)&gt;=MAX(B128:D128)-0.0000001,Sensibilidad!$C$37,INDEX(Inicio!$A$16:$A$18,MATCH(MAX(B128:D128),B128:D128,0)))</f>
        <v/>
      </c>
    </row>
    <row r="129" ht="15.75" customHeight="1" s="42">
      <c r="A129" s="39" t="n">
        <v>0.95</v>
      </c>
      <c r="B129" s="28">
        <f>$A129*Resultados!$F$16+(1-$A129)*(Resultados!$G$16-Resultados!$F$15*Resultados!$F$16)/(1-Resultados!$F$15)</f>
        <v/>
      </c>
      <c r="C129" s="28">
        <f>$A129*Resultados!$F$17+(1-$A129)*(Resultados!$G$17-Resultados!$F$15*Resultados!$F$17)/(1-Resultados!$F$15)</f>
        <v/>
      </c>
      <c r="D129" s="28">
        <f>$A129*Resultados!$F$18+(1-$A129)*(Resultados!$G$18-Resultados!$F$15*Resultados!$F$18)/(1-Resultados!$F$15)</f>
        <v/>
      </c>
      <c r="E129" s="36">
        <f t="array" ref="E129">IF(INDEX(B129:D129,Sensibilidad!$B$37)&gt;=MAX(B129:D129)-0.0000001,Sensibilidad!$C$37,INDEX(Inicio!$A$16:$A$18,MATCH(MAX(B129:D129),B129:D129,0)))</f>
        <v/>
      </c>
    </row>
    <row r="130" ht="15.75" customHeight="1" s="42">
      <c r="A130" s="39" t="n">
        <v>1</v>
      </c>
      <c r="B130" s="28">
        <f>$A130*Resultados!$F$16+(1-$A130)*(Resultados!$G$16-Resultados!$F$15*Resultados!$F$16)/(1-Resultados!$F$15)</f>
        <v/>
      </c>
      <c r="C130" s="28">
        <f>$A130*Resultados!$F$17+(1-$A130)*(Resultados!$G$17-Resultados!$F$15*Resultados!$F$17)/(1-Resultados!$F$15)</f>
        <v/>
      </c>
      <c r="D130" s="28">
        <f>$A130*Resultados!$F$18+(1-$A130)*(Resultados!$G$18-Resultados!$F$15*Resultados!$F$18)/(1-Resultados!$F$15)</f>
        <v/>
      </c>
      <c r="E130" s="36">
        <f t="array" ref="E130">IF(INDEX(B130:D130,Sensibilidad!$B$37)&gt;=MAX(B130:D130)-0.0000001,Sensibilidad!$C$37,INDEX(Inicio!$A$16:$A$18,MATCH(MAX(B130:D130),B130:D130,0)))</f>
        <v/>
      </c>
    </row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pageMargins left="0.75" right="0.75" top="1" bottom="1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2026-10-25T01:21:30Z</dcterms:created>
  <dcterms:modified xmlns:dcterms="http://purl.org/dc/terms/" xmlns:xsi="http://www.w3.org/2001/XMLSchema-instance" xsi:type="dcterms:W3CDTF">2026-10-29T21:48:50Z</dcterms:modified>
</cp:coreProperties>
</file>